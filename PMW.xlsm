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actor\Desktop\Test\price mangement worksheet\"/>
    </mc:Choice>
  </mc:AlternateContent>
  <xr:revisionPtr revIDLastSave="0" documentId="13_ncr:1_{6957FB6D-7D0A-41E6-ACDB-1545F3FFE15C}" xr6:coauthVersionLast="47" xr6:coauthVersionMax="47" xr10:uidLastSave="{00000000-0000-0000-0000-000000000000}"/>
  <bookViews>
    <workbookView xWindow="-120" yWindow="-120" windowWidth="20730" windowHeight="11160" xr2:uid="{808151B8-2657-4087-8C4F-F2C5E95A0280}"/>
  </bookViews>
  <sheets>
    <sheet name="PMWorksheet" sheetId="1" r:id="rId1"/>
    <sheet name="RetailPoints" sheetId="11" r:id="rId2"/>
    <sheet name="LookUpMetaData" sheetId="2" r:id="rId3"/>
    <sheet name="Settings" sheetId="10" r:id="rId4"/>
    <sheet name="WorksheetMetaData" sheetId="3" r:id="rId5"/>
    <sheet name="Currencies" sheetId="4" r:id="rId6"/>
    <sheet name="Suppliers" sheetId="5" r:id="rId7"/>
    <sheet name="Locations" sheetId="6" r:id="rId8"/>
    <sheet name="PriceGroups" sheetId="8" r:id="rId9"/>
    <sheet name="PriceTypes" sheetId="9" r:id="rId10"/>
    <sheet name="Temp" sheetId="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<sst xmlns="http://schemas.openxmlformats.org/spreadsheetml/2006/main" count="846" uniqueCount="605">
  <si>
    <t>Filter By Supplier</t>
  </si>
  <si>
    <t>Filter By Location</t>
  </si>
  <si>
    <t>Filter By Currency</t>
  </si>
  <si>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</si>
  <si>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</si>
  <si>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</si>
  <si>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</si>
  <si>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</si>
  <si>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</si>
  <si>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</si>
  <si>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</si>
  <si>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</si>
  <si>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</si>
  <si>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</si>
  <si>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</si>
  <si>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</si>
  <si>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</si>
  <si>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</si>
  <si>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</si>
  <si>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</si>
  <si>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</si>
  <si>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</si>
  <si>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</si>
  <si>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</si>
  <si>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</si>
  <si>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</si>
  <si>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</si>
  <si>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</si>
  <si>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</si>
  <si>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</si>
  <si>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</si>
  <si>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</si>
  <si>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</si>
  <si>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</si>
  <si>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</si>
  <si>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</si>
  <si>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</si>
  <si>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</si>
  <si>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</si>
  <si>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</si>
  <si>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</si>
  <si>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</si>
  <si>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</si>
  <si>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</si>
  <si>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</si>
  <si>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</si>
  <si>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</si>
  <si>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</si>
  <si>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</si>
  <si>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</si>
  <si>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</si>
  <si>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</si>
  <si>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</si>
  <si>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</si>
  <si>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</si>
  <si>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</si>
  <si>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</si>
  <si>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</si>
  <si>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</si>
  <si>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</si>
  <si>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</si>
  <si>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</si>
  <si>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</si>
  <si>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</si>
  <si>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</si>
  <si>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</si>
  <si>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</si>
  <si>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</si>
  <si>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</si>
  <si>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</si>
  <si>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</si>
  <si>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</si>
  <si>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</si>
  <si>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</si>
  <si>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</si>
  <si>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</si>
  <si>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</si>
  <si>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</si>
  <si>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</si>
  <si>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</si>
  <si>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</si>
  <si>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</si>
  <si>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</si>
  <si>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</si>
  <si>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</si>
  <si>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</si>
  <si>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</si>
  <si>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</si>
  <si>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</si>
  <si>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</si>
  <si>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</si>
  <si>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</si>
  <si>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</si>
  <si>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</si>
  <si>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</si>
  <si>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</si>
  <si>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</si>
  <si>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</si>
  <si>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</si>
  <si>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</si>
  <si>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</si>
  <si>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</si>
  <si>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</si>
  <si>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</si>
  <si>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</si>
  <si>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</si>
  <si>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</si>
  <si>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</si>
  <si>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</si>
  <si>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</si>
  <si>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</si>
  <si>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</si>
  <si>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</si>
  <si>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</si>
  <si>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</si>
  <si>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</si>
  <si>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</si>
  <si>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</si>
  <si>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</si>
  <si>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</si>
  <si>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</si>
  <si>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</si>
  <si>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</si>
  <si>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</si>
  <si>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</si>
  <si>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</si>
  <si>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</si>
  <si>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</si>
  <si>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</si>
  <si>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</si>
  <si>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</si>
  <si>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</si>
  <si>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</si>
  <si>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</si>
  <si>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</si>
  <si>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</si>
  <si>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</si>
  <si>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</si>
  <si>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</si>
  <si>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</si>
  <si>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</si>
  <si>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</si>
  <si>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</si>
  <si>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</si>
  <si>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</si>
  <si>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</si>
  <si>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</si>
  <si>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</si>
  <si>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</si>
  <si>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</si>
  <si>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</si>
  <si>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</si>
  <si>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</si>
  <si>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</si>
  <si>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</si>
  <si>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</si>
  <si>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</si>
  <si>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</si>
  <si>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</si>
  <si>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</si>
  <si>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</si>
  <si>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</si>
  <si>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</si>
  <si>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</si>
  <si>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</si>
  <si>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</si>
  <si>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</si>
  <si>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</si>
  <si>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</si>
  <si>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</si>
  <si>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</si>
  <si>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</si>
  <si>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</si>
  <si>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</si>
  <si>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</si>
  <si>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</si>
  <si>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</si>
  <si>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</si>
  <si>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</si>
  <si>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</si>
  <si>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</si>
  <si>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</si>
  <si>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</si>
  <si>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</si>
  <si>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</si>
  <si>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</si>
  <si>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</si>
  <si>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</si>
  <si>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</si>
  <si>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</si>
  <si>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</si>
  <si>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</si>
  <si>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</si>
  <si>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</si>
  <si>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</si>
  <si>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</si>
  <si>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</si>
  <si>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</si>
  <si>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</si>
  <si>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</si>
  <si>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</si>
  <si>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</si>
  <si>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</si>
  <si>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</si>
  <si>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</si>
  <si>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</si>
  <si>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</si>
  <si>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</si>
  <si>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</si>
  <si>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</si>
  <si>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</si>
  <si>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</si>
  <si>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</si>
  <si>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</si>
  <si>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</si>
  <si>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</si>
  <si>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</si>
  <si>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</si>
  <si>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</si>
  <si>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</si>
  <si>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</si>
  <si>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</si>
  <si>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</si>
  <si>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</si>
  <si>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</si>
  <si>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</si>
  <si>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</si>
  <si>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</si>
  <si>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</si>
  <si>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</si>
  <si>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</si>
  <si>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</si>
  <si>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</si>
  <si>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</si>
  <si>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</si>
  <si>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</si>
  <si>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</si>
  <si>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</si>
  <si>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</si>
  <si>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</si>
  <si>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</si>
  <si>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</si>
  <si>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</si>
  <si>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</si>
  <si>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</si>
  <si>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</si>
  <si>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</si>
  <si>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</si>
  <si>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</si>
  <si>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</si>
  <si>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</si>
  <si>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</si>
  <si>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</si>
  <si>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</si>
  <si>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</si>
  <si>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</si>
  <si>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</si>
  <si>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</si>
  <si>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</si>
  <si>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</si>
  <si>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</si>
  <si>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</si>
  <si>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</si>
  <si>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</si>
  <si>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</si>
  <si>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</si>
  <si>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</si>
  <si>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</si>
  <si>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</si>
  <si>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</si>
  <si>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</si>
  <si>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</si>
  <si>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</si>
  <si>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</si>
  <si>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</si>
  <si>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</si>
  <si>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</si>
  <si>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</si>
  <si>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</si>
  <si>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</si>
  <si>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</si>
  <si>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</si>
  <si>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</si>
  <si>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</si>
  <si>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</si>
  <si>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</si>
  <si>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</si>
  <si>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</si>
  <si>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</si>
  <si>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</si>
  <si>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</si>
  <si>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</si>
  <si>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</si>
  <si>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</si>
  <si>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</si>
  <si>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</si>
  <si>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</si>
  <si>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</si>
  <si>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</si>
  <si>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</si>
  <si>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</si>
  <si>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</si>
  <si>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</si>
  <si>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</si>
  <si>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</si>
  <si>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</si>
  <si>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</si>
  <si>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</si>
  <si>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</si>
  <si>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</si>
  <si>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</si>
  <si>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</si>
  <si>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</si>
  <si>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</si>
  <si>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</si>
  <si>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</si>
  <si>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</si>
  <si>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</si>
  <si>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</si>
  <si>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</si>
  <si>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</si>
  <si>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</si>
  <si>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</si>
  <si>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</si>
  <si>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</si>
  <si>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</si>
  <si>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</si>
  <si>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</si>
  <si>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</si>
  <si>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</si>
  <si>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</si>
  <si>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</si>
  <si>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</si>
  <si>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</si>
  <si>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</si>
  <si>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</si>
  <si>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</si>
  <si>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</si>
  <si>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</si>
  <si>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</si>
  <si>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</si>
  <si>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</si>
  <si>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</si>
  <si>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</si>
  <si>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</si>
  <si>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</si>
  <si>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</si>
  <si>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</si>
  <si>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</si>
  <si>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</si>
  <si>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</si>
  <si>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</si>
  <si>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</si>
  <si>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</si>
  <si>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</si>
  <si>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</si>
  <si>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</si>
  <si>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</si>
  <si>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</si>
  <si>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</si>
  <si>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</si>
  <si>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</si>
  <si>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</si>
  <si>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</si>
  <si>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</si>
  <si>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</si>
  <si>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</si>
  <si>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</si>
  <si>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</si>
  <si>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</si>
  <si>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</si>
  <si>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</si>
  <si>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</si>
  <si>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</si>
  <si>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</si>
  <si>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</si>
  <si>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</si>
  <si>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</si>
  <si>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</si>
  <si>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</si>
  <si>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</si>
  <si>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</si>
  <si>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</si>
  <si>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</si>
  <si>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</si>
  <si>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</si>
  <si>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</si>
  <si>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</si>
  <si>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</si>
  <si>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</si>
  <si>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</si>
  <si>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</si>
  <si>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</si>
  <si>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</si>
  <si>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</si>
  <si>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</si>
  <si>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</si>
  <si>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</si>
  <si>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</si>
  <si>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</si>
  <si>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</si>
  <si>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</si>
  <si>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</si>
  <si>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</si>
  <si>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</si>
  <si>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</si>
  <si>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</si>
  <si>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</si>
  <si>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</si>
  <si>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</si>
  <si>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</si>
  <si>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</si>
  <si>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</si>
  <si>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</si>
  <si>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</si>
  <si>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</si>
  <si>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</si>
  <si>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</si>
  <si>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</si>
  <si>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</si>
  <si>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</si>
  <si>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</si>
  <si>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</si>
  <si>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</si>
  <si>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</si>
  <si>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</si>
  <si>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</si>
  <si>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</si>
  <si>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</si>
  <si>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</si>
  <si>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</si>
  <si>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</si>
  <si>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</si>
  <si>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</si>
  <si>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</si>
  <si>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</si>
  <si>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</si>
  <si>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</si>
  <si>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</si>
  <si>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</si>
  <si>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</si>
  <si>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</si>
  <si>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</si>
  <si>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</si>
  <si>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</si>
  <si>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</si>
  <si>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</si>
  <si>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</si>
  <si>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</si>
  <si>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</si>
  <si>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</si>
  <si>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</si>
  <si>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</si>
  <si>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</si>
  <si>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</si>
  <si>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</si>
  <si>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</si>
  <si>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</si>
  <si>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</si>
  <si>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</si>
  <si>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</si>
  <si>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</si>
  <si>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</si>
  <si>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</si>
  <si>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</si>
  <si>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</si>
  <si>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Supplier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</si>
  <si>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</si>
  <si>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</si>
  <si>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</si>
  <si>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</si>
  <si>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</si>
  <si>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</si>
  <si>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</si>
  <si>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</si>
  <si>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FilterField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</si>
  <si>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</si>
  <si>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</si>
  <si>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</si>
  <si>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</si>
  <si>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</si>
  <si>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</si>
  <si>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</si>
  <si>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</si>
  <si>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</si>
  <si>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</si>
  <si>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</si>
  <si>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</si>
  <si>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</si>
  <si>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</si>
  <si>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</si>
  <si>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</si>
  <si>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</si>
  <si>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</si>
  <si>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</si>
  <si>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</si>
  <si>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</si>
  <si>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0101</t>
  </si>
  <si>
    <t>G001</t>
  </si>
  <si>
    <t>Column1</t>
  </si>
  <si>
    <t>Price Adjustment</t>
  </si>
  <si>
    <t>Cost Adjustment</t>
  </si>
  <si>
    <t>CalculationField</t>
  </si>
  <si>
    <t>From</t>
  </si>
  <si>
    <t>To</t>
  </si>
  <si>
    <t>Retail Point</t>
  </si>
  <si>
    <t>Filter By Price Group</t>
  </si>
  <si>
    <t>priceGroup</t>
  </si>
  <si>
    <t>retail:priceGroup/retail:groupId</t>
  </si>
  <si>
    <t>retail:priceGroup/retail:groupHierarchyId</t>
  </si>
  <si>
    <t>retail:priceGroup/retail:name</t>
  </si>
  <si>
    <t>Hierarchy ID</t>
  </si>
  <si>
    <t>Price Group ID</t>
  </si>
  <si>
    <t>priceType</t>
  </si>
  <si>
    <t>retail:priceType/retail:description/core:string</t>
  </si>
  <si>
    <t>retail:priceType/retail:typeId</t>
  </si>
  <si>
    <t>Price Type ID</t>
  </si>
  <si>
    <t>test edited</t>
  </si>
  <si>
    <t>AT1</t>
  </si>
  <si>
    <t>001 test Store edited</t>
  </si>
  <si>
    <t>002 test Store edited</t>
  </si>
  <si>
    <t>001</t>
  </si>
  <si>
    <t>002</t>
  </si>
  <si>
    <t>Austria</t>
  </si>
  <si>
    <t>Bosnia</t>
  </si>
  <si>
    <t>Canada</t>
  </si>
  <si>
    <t>Chile</t>
  </si>
  <si>
    <t>Czech Republic</t>
  </si>
  <si>
    <t>France</t>
  </si>
  <si>
    <t>Germany</t>
  </si>
  <si>
    <t>Hungary</t>
  </si>
  <si>
    <t>Norway</t>
  </si>
  <si>
    <t>Poland</t>
  </si>
  <si>
    <t>Portugal</t>
  </si>
  <si>
    <t>Province 1 Price Group</t>
  </si>
  <si>
    <t>Province 2 Price Group</t>
  </si>
  <si>
    <t>RESTAURANT</t>
  </si>
  <si>
    <t>Romania</t>
  </si>
  <si>
    <t>Serbia</t>
  </si>
  <si>
    <t>Slovakia</t>
  </si>
  <si>
    <t>Slovenia</t>
  </si>
  <si>
    <t>Test_Price_Group_1</t>
  </si>
  <si>
    <t>Turkey</t>
  </si>
  <si>
    <t>UK</t>
  </si>
  <si>
    <t>Ukraine</t>
  </si>
  <si>
    <t>United Kingdom</t>
  </si>
  <si>
    <t>United States</t>
  </si>
  <si>
    <t>AT</t>
  </si>
  <si>
    <t>BA</t>
  </si>
  <si>
    <t>CA</t>
  </si>
  <si>
    <t>CL</t>
  </si>
  <si>
    <t>CZ</t>
  </si>
  <si>
    <t>FR</t>
  </si>
  <si>
    <t>DE</t>
  </si>
  <si>
    <t>HUNGARY</t>
  </si>
  <si>
    <t>NO</t>
  </si>
  <si>
    <t>PL</t>
  </si>
  <si>
    <t>PORTUGAL</t>
  </si>
  <si>
    <t>Province_1</t>
  </si>
  <si>
    <t>Province_2</t>
  </si>
  <si>
    <t>RO</t>
  </si>
  <si>
    <t>RS</t>
  </si>
  <si>
    <t>SK</t>
  </si>
  <si>
    <t>SLOVENIA</t>
  </si>
  <si>
    <t>TURKEY</t>
  </si>
  <si>
    <t>UA</t>
  </si>
  <si>
    <t>US</t>
  </si>
  <si>
    <t>2023/07/28 - 14:09:21</t>
  </si>
  <si>
    <t>Currency Buy Rate</t>
  </si>
  <si>
    <t>Currency Cover Rate</t>
  </si>
  <si>
    <t>Currency Remit Rate</t>
  </si>
  <si>
    <t>Currency Sell Rate</t>
  </si>
  <si>
    <t>Employee Unit</t>
  </si>
  <si>
    <t>Fee</t>
  </si>
  <si>
    <t>Minimum Sell Price</t>
  </si>
  <si>
    <t>Offer - Markdown</t>
  </si>
  <si>
    <t>Product Option</t>
  </si>
  <si>
    <t>Recommended Retail Price</t>
  </si>
  <si>
    <t>Retail Unit</t>
  </si>
  <si>
    <t>Trade Unit</t>
  </si>
  <si>
    <t>CB5</t>
  </si>
  <si>
    <t>CC5</t>
  </si>
  <si>
    <t>CR5</t>
  </si>
  <si>
    <t>CS5</t>
  </si>
  <si>
    <t>E</t>
  </si>
  <si>
    <t>F</t>
  </si>
  <si>
    <t>Min</t>
  </si>
  <si>
    <t>OFFER</t>
  </si>
  <si>
    <t>PDT_OPTION</t>
  </si>
  <si>
    <t>RRP</t>
  </si>
  <si>
    <t>R</t>
  </si>
  <si>
    <t>T</t>
  </si>
  <si>
    <t>Product Price (New)</t>
  </si>
  <si>
    <t>Supplier Cost (New)</t>
  </si>
  <si>
    <t>nm</t>
  </si>
  <si>
    <t>jh</t>
  </si>
  <si>
    <t>kk</t>
  </si>
  <si>
    <t>PriceGroups</t>
  </si>
  <si>
    <t>PriceTypes</t>
  </si>
  <si>
    <t>Test Price 001</t>
  </si>
  <si>
    <t>Test Price 002</t>
  </si>
  <si>
    <t>Test Price 003</t>
  </si>
  <si>
    <t>SDS25645</t>
  </si>
  <si>
    <t>SDS25651</t>
  </si>
  <si>
    <t>SDS25656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</si>
</sst>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6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2" fillId="2" borderId="1" xfId="1" applyBorder="1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0" fontId="6" fillId="0" borderId="0" xfId="0" applyFont="1" applyAlignment="1">
      <alignment horizontal="center"/>
    </xf>
    <xf numFmtId="14" fontId="3" fillId="3" borderId="1" xfId="2" applyNumberFormat="1"/>
    <xf numFmtId="14" fontId="0" fillId="0" borderId="0" xfId="0" applyNumberFormat="1"/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28575</xdr:rowOff>
        </xdr:from>
        <xdr:to>
          <xdr:col>1</xdr:col>
          <xdr:colOff>1266825</xdr:colOff>
          <xdr:row>7</xdr:row>
          <xdr:rowOff>161925</xdr:rowOff>
        </xdr:to>
        <xdr:sp macro="" textlink="">
          <xdr:nvSpPr>
            <xdr:cNvPr id="1025" name="ApplyFilter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19050</xdr:rowOff>
        </xdr:from>
        <xdr:to>
          <xdr:col>2</xdr:col>
          <xdr:colOff>1304925</xdr:colOff>
          <xdr:row>7</xdr:row>
          <xdr:rowOff>161925</xdr:rowOff>
        </xdr:to>
        <xdr:sp macro="" textlink="">
          <xdr:nvSpPr>
            <xdr:cNvPr id="1026" name="ResetFilters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19050</xdr:rowOff>
        </xdr:from>
        <xdr:to>
          <xdr:col>4</xdr:col>
          <xdr:colOff>1381125</xdr:colOff>
          <xdr:row>7</xdr:row>
          <xdr:rowOff>152400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6</xdr:row>
          <xdr:rowOff>19050</xdr:rowOff>
        </xdr:from>
        <xdr:to>
          <xdr:col>5</xdr:col>
          <xdr:colOff>1352550</xdr:colOff>
          <xdr:row>7</xdr:row>
          <xdr:rowOff>152400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3</xdr:row>
          <xdr:rowOff>85725</xdr:rowOff>
        </xdr:from>
        <xdr:to>
          <xdr:col>9</xdr:col>
          <xdr:colOff>866776</xdr:colOff>
          <xdr:row>4</xdr:row>
          <xdr:rowOff>180975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47625</xdr:rowOff>
        </xdr:from>
        <xdr:to>
          <xdr:col>4</xdr:col>
          <xdr:colOff>1362075</xdr:colOff>
          <xdr:row>5</xdr:row>
          <xdr:rowOff>161925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47625</xdr:rowOff>
        </xdr:from>
        <xdr:to>
          <xdr:col>5</xdr:col>
          <xdr:colOff>1343025</xdr:colOff>
          <xdr:row>5</xdr:row>
          <xdr:rowOff>161925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771525</xdr:colOff>
          <xdr:row>4</xdr:row>
          <xdr:rowOff>180975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RetailPointsTable" displayName="RetailPointsTable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14" totalsRowShown="0">
  <autoFilter ref="A1:E14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iesTable" displayName="CurrenciesTable" ref="A1:B164" totalsRowShown="0" headerRowDxfId="3">
  <autoFilter ref="A1:B164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sTable" displayName="Suppliers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LocationsTable" displayName="LocationsTable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5BD21A-3AAE-4457-AF88-C1DF910E46EC}" name="PriceGroupsTable" displayName="PriceGroupsTable" ref="A1:C26" totalsRowShown="0">
  <autoFilter ref="A1:C26" xr:uid="{3C5BD21A-3AAE-4457-AF88-C1DF910E46EC}"/>
  <tableColumns count="3">
    <tableColumn id="1" xr3:uid="{931CBE33-4C71-4F27-B9C7-80143FC23EEA}" name="Price Group"/>
    <tableColumn id="2" xr3:uid="{17132BA4-B3FA-45A5-9400-2D9AAB513C67}" name="Price Group ID"/>
    <tableColumn id="3" xr3:uid="{97817DB8-5071-4FF5-8C15-40A12593114E}" name="Hierarchy ID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9ADFD-E4B1-4AE0-B1D4-13B546F8DA58}" name="PriceTypesTable" displayName="PriceTypesTable" ref="A1:B13" totalsRowShown="0">
  <autoFilter ref="A1:B13" xr:uid="{B1C9ADFD-E4B1-4AE0-B1D4-13B546F8DA58}"/>
  <tableColumns count="2">
    <tableColumn id="1" xr3:uid="{B4E62230-3C0D-4C07-A1DD-A29559F68E6C}" name="Price Type"/>
    <tableColumn id="2" xr3:uid="{4A96E935-3E8E-4AC6-979D-640D969AC1A1}" name="Price Type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topLeftCell="E1" zoomScale="96" zoomScaleNormal="96" workbookViewId="0">
      <selection activeCell="G17" sqref="G17"/>
    </sheetView>
  </sheetViews>
  <sheetFormatPr defaultRowHeight="15" x14ac:dyDescent="0.25"/>
  <cols>
    <col min="1" max="1" width="0.7109375" customWidth="1"/>
    <col min="2" max="2" width="19.7109375" customWidth="1"/>
    <col min="3" max="3" width="21.140625" customWidth="1"/>
    <col min="4" max="4" width="18.140625" customWidth="1"/>
    <col min="5" max="5" width="21" customWidth="1"/>
    <col min="6" max="6" width="21.140625" customWidth="1"/>
    <col min="7" max="7" width="17" customWidth="1"/>
    <col min="8" max="8" width="15" customWidth="1"/>
    <col min="9" max="9" width="15.7109375" customWidth="1"/>
    <col min="10" max="10" width="17.42578125" customWidth="1"/>
    <col min="11" max="11" width="12.42578125" customWidth="1"/>
    <col min="12" max="12" width="13.5703125" customWidth="1"/>
    <col min="13" max="14" width="14.5703125" customWidth="1"/>
    <col min="15" max="15" width="15.140625" customWidth="1"/>
    <col min="16" max="16" width="13.42578125" customWidth="1"/>
  </cols>
  <sheetData>
    <row r="1" spans="2:16" ht="6" customHeight="1" x14ac:dyDescent="0.25"/>
    <row r="2" spans="2:16" x14ac:dyDescent="0.25">
      <c r="B2" s="4" t="s">
        <v>0</v>
      </c>
      <c r="C2" s="10"/>
      <c r="E2" s="4" t="s">
        <v>6</v>
      </c>
      <c r="F2" s="6"/>
      <c r="H2" s="4" t="s">
        <v>13</v>
      </c>
      <c r="I2" s="2" t="s">
        <v>53</v>
      </c>
      <c r="J2" s="12">
        <v>0.03</v>
      </c>
      <c r="L2" s="6" t="s">
        <v>19</v>
      </c>
    </row>
    <row r="3" spans="2:16" x14ac:dyDescent="0.25">
      <c r="B3" s="4" t="s">
        <v>1</v>
      </c>
      <c r="C3" s="10"/>
      <c r="E3" s="4" t="s">
        <v>7</v>
      </c>
      <c r="F3" s="7"/>
      <c r="H3" s="4" t="s">
        <v>52</v>
      </c>
      <c r="I3" s="2" t="s">
        <v>53</v>
      </c>
      <c r="J3" s="12">
        <v>0.04</v>
      </c>
      <c r="L3" s="8" t="s">
        <v>50</v>
      </c>
    </row>
    <row r="4" spans="2:16" x14ac:dyDescent="0.25">
      <c r="B4" s="4" t="s">
        <v>2</v>
      </c>
      <c r="C4" s="10"/>
      <c r="E4" s="4" t="s">
        <v>8</v>
      </c>
      <c r="F4" s="7"/>
      <c r="L4" s="2" t="s">
        <v>20</v>
      </c>
    </row>
    <row r="5" spans="2:16" x14ac:dyDescent="0.25">
      <c r="B5" s="4" t="s">
        <v>506</v>
      </c>
      <c r="C5" s="10"/>
      <c r="L5" s="3" t="s">
        <v>21</v>
      </c>
    </row>
    <row r="6" spans="2:16" x14ac:dyDescent="0.25">
      <c r="B6" s="4"/>
      <c r="L6" s="11" t="s">
        <v>51</v>
      </c>
    </row>
    <row r="10" spans="2:16" x14ac:dyDescent="0.25">
      <c r="I10" s="4"/>
      <c r="K10" s="23" t="s">
        <v>17</v>
      </c>
      <c r="L10" s="23"/>
    </row>
    <row r="11" spans="2:16" s="4" customFormat="1" x14ac:dyDescent="0.25">
      <c r="B11" s="4" t="s">
        <v>3</v>
      </c>
      <c r="C11" s="4" t="s">
        <v>4</v>
      </c>
      <c r="D11" s="4" t="s">
        <v>5</v>
      </c>
      <c r="E11" s="4" t="s">
        <v>9</v>
      </c>
      <c r="F11" s="4" t="s">
        <v>15</v>
      </c>
      <c r="G11" s="4" t="s">
        <v>14</v>
      </c>
      <c r="H11" s="4" t="s">
        <v>12</v>
      </c>
      <c r="I11" s="4" t="s">
        <v>10</v>
      </c>
      <c r="J11" s="4" t="s">
        <v>11</v>
      </c>
      <c r="K11" s="4" t="s">
        <v>16</v>
      </c>
      <c r="L11" s="4" t="s">
        <v>14</v>
      </c>
      <c r="M11" s="4" t="s">
        <v>56</v>
      </c>
      <c r="N11" s="4" t="s">
        <v>36</v>
      </c>
      <c r="O11" s="4" t="s">
        <v>54</v>
      </c>
      <c r="P11" s="4" t="s">
        <v>55</v>
      </c>
    </row>
    <row r="12" spans="2:16" x14ac:dyDescent="0.25">
      <c r="B12" s="6">
        <v>1</v>
      </c>
      <c r="C12" s="7" t="s">
        <v>599</v>
      </c>
      <c r="D12" s="7" t="s">
        <v>602</v>
      </c>
      <c r="E12" s="2" t="s">
        <v>523</v>
      </c>
      <c r="F12" s="8">
        <v>0.2</v>
      </c>
      <c r="G12" s="8">
        <v>0.15</v>
      </c>
      <c r="H12" s="2" t="s">
        <v>60</v>
      </c>
      <c r="I12" s="24">
        <v>44969</v>
      </c>
      <c r="J12" s="24">
        <v>44969</v>
      </c>
      <c r="K12" s="9">
        <v>0.99</v>
      </c>
      <c r="L12" s="13">
        <v>0.16</v>
      </c>
      <c r="M12" s="2" t="s">
        <v>578</v>
      </c>
      <c r="N12" s="2" t="s">
        <v>425</v>
      </c>
      <c r="O12" s="18"/>
      <c r="P12" s="7"/>
    </row>
    <row r="13" spans="2:16" x14ac:dyDescent="0.25">
      <c r="B13" s="6">
        <v>2</v>
      </c>
      <c r="C13" s="7" t="s">
        <v>600</v>
      </c>
      <c r="D13" s="7" t="s">
        <v>603</v>
      </c>
      <c r="E13" s="2" t="s">
        <v>537</v>
      </c>
      <c r="F13" s="8">
        <v>12</v>
      </c>
      <c r="G13" s="8">
        <v>10</v>
      </c>
      <c r="H13" s="2" t="s">
        <v>70</v>
      </c>
      <c r="I13" s="24">
        <v>44970</v>
      </c>
      <c r="J13" s="24">
        <v>44970</v>
      </c>
      <c r="K13" s="9">
        <v>13</v>
      </c>
      <c r="L13" s="13">
        <v>10.4</v>
      </c>
      <c r="M13" s="2" t="s">
        <v>578</v>
      </c>
      <c r="N13" s="2" t="s">
        <v>425</v>
      </c>
      <c r="O13" s="18"/>
      <c r="P13" s="7"/>
    </row>
    <row r="14" spans="2:16" x14ac:dyDescent="0.25">
      <c r="B14" s="6">
        <v>3</v>
      </c>
      <c r="C14" s="7" t="s">
        <v>601</v>
      </c>
      <c r="D14" s="7" t="s">
        <v>604</v>
      </c>
      <c r="E14" s="2" t="s">
        <v>539</v>
      </c>
      <c r="F14" s="8">
        <v>60</v>
      </c>
      <c r="G14" s="8">
        <v>40</v>
      </c>
      <c r="H14" s="2" t="s">
        <v>68</v>
      </c>
      <c r="I14" s="24">
        <v>44971</v>
      </c>
      <c r="J14" s="24">
        <v>44971</v>
      </c>
      <c r="K14" s="9">
        <v>65</v>
      </c>
      <c r="L14" s="13">
        <v>41.6</v>
      </c>
      <c r="M14" s="2" t="s">
        <v>578</v>
      </c>
      <c r="N14" s="2" t="s">
        <v>425</v>
      </c>
      <c r="O14" s="18"/>
      <c r="P14" s="7"/>
    </row>
    <row r="15" spans="2:16" x14ac:dyDescent="0.25">
      <c r="B15" s="6"/>
      <c r="C15" s="7"/>
      <c r="D15" s="7"/>
      <c r="E15" s="2"/>
      <c r="F15" s="8"/>
      <c r="G15" s="8"/>
      <c r="H15" s="2"/>
      <c r="I15" s="6"/>
      <c r="J15" s="6"/>
      <c r="K15" s="9"/>
      <c r="L15" s="13"/>
      <c r="M15" s="2"/>
      <c r="N15" s="2"/>
      <c r="O15" s="18"/>
      <c r="P15" s="7"/>
    </row>
    <row r="16" spans="2:16" x14ac:dyDescent="0.25">
      <c r="B16" s="6"/>
      <c r="C16" s="7"/>
      <c r="D16" s="7"/>
      <c r="E16" s="2"/>
      <c r="F16" s="8"/>
      <c r="G16" s="8"/>
      <c r="H16" s="2"/>
      <c r="I16" s="6"/>
      <c r="J16" s="6"/>
      <c r="K16" s="9"/>
      <c r="L16" s="13"/>
      <c r="M16" s="2"/>
      <c r="N16" s="2"/>
      <c r="O16" s="18"/>
      <c r="P16" s="7"/>
    </row>
    <row r="17" spans="2:16" x14ac:dyDescent="0.25">
      <c r="B17" s="6"/>
      <c r="C17" s="7"/>
      <c r="D17" s="7"/>
      <c r="E17" s="2"/>
      <c r="F17" s="8"/>
      <c r="G17" s="8"/>
      <c r="H17" s="2"/>
      <c r="I17" s="6"/>
      <c r="J17" s="6"/>
      <c r="K17" s="9"/>
      <c r="L17" s="13"/>
      <c r="M17" s="2"/>
      <c r="N17" s="2"/>
      <c r="O17" s="18"/>
      <c r="P17" s="7"/>
    </row>
    <row r="18" spans="2:16" x14ac:dyDescent="0.25">
      <c r="B18" s="6"/>
      <c r="C18" s="7"/>
      <c r="D18" s="7"/>
      <c r="E18" s="2"/>
      <c r="F18" s="8"/>
      <c r="G18" s="8"/>
      <c r="H18" s="2"/>
      <c r="I18" s="6"/>
      <c r="J18" s="6"/>
      <c r="K18" s="9"/>
      <c r="L18" s="13"/>
      <c r="M18" s="2"/>
      <c r="N18" s="2"/>
      <c r="O18" s="18"/>
      <c r="P18" s="7"/>
    </row>
    <row r="19" spans="2:16" x14ac:dyDescent="0.25">
      <c r="B19" s="6"/>
      <c r="C19" s="7"/>
      <c r="D19" s="7"/>
      <c r="E19" s="2"/>
      <c r="F19" s="8"/>
      <c r="G19" s="8"/>
      <c r="H19" s="2"/>
      <c r="I19" s="6"/>
      <c r="J19" s="6"/>
      <c r="K19" s="9"/>
      <c r="L19" s="13"/>
      <c r="M19" s="2"/>
      <c r="N19" s="2"/>
      <c r="O19" s="18"/>
      <c r="P19" s="7"/>
    </row>
    <row r="20" spans="2:16" x14ac:dyDescent="0.25">
      <c r="B20" s="6"/>
      <c r="C20" s="7"/>
      <c r="D20" s="7"/>
      <c r="E20" s="2"/>
      <c r="F20" s="8"/>
      <c r="G20" s="8"/>
      <c r="H20" s="2"/>
      <c r="I20" s="6"/>
      <c r="J20" s="6"/>
      <c r="K20" s="9"/>
      <c r="L20" s="13"/>
      <c r="M20" s="2"/>
      <c r="N20" s="2"/>
      <c r="O20" s="18"/>
      <c r="P20" s="7"/>
    </row>
    <row r="21" spans="2:16" x14ac:dyDescent="0.25">
      <c r="B21" s="6"/>
      <c r="C21" s="7"/>
      <c r="D21" s="7"/>
      <c r="E21" s="2"/>
      <c r="F21" s="8"/>
      <c r="G21" s="8"/>
      <c r="H21" s="2"/>
      <c r="I21" s="6"/>
      <c r="J21" s="6"/>
      <c r="K21" s="9"/>
      <c r="L21" s="13"/>
      <c r="M21" s="2"/>
      <c r="N21" s="2"/>
      <c r="O21" s="18"/>
      <c r="P21" s="7"/>
    </row>
    <row r="22" spans="2:16" x14ac:dyDescent="0.25">
      <c r="B22" s="6"/>
      <c r="C22" s="7"/>
      <c r="D22" s="7"/>
      <c r="E22" s="2"/>
      <c r="F22" s="8"/>
      <c r="G22" s="8"/>
      <c r="H22" s="2"/>
      <c r="I22" s="6"/>
      <c r="J22" s="6"/>
      <c r="K22" s="9"/>
      <c r="L22" s="13"/>
      <c r="M22" s="2"/>
      <c r="N22" s="2"/>
      <c r="O22" s="18"/>
      <c r="P22" s="7"/>
    </row>
    <row r="23" spans="2:16" x14ac:dyDescent="0.25">
      <c r="B23" s="6"/>
      <c r="C23" s="7"/>
      <c r="D23" s="7"/>
      <c r="E23" s="2"/>
      <c r="F23" s="8"/>
      <c r="G23" s="8"/>
      <c r="H23" s="2"/>
      <c r="I23" s="6"/>
      <c r="J23" s="6"/>
      <c r="K23" s="9"/>
      <c r="L23" s="13"/>
      <c r="M23" s="2"/>
      <c r="N23" s="2"/>
      <c r="O23" s="18"/>
      <c r="P23" s="7"/>
    </row>
    <row r="24" spans="2:16" x14ac:dyDescent="0.25">
      <c r="B24" s="6"/>
      <c r="C24" s="7"/>
      <c r="D24" s="7"/>
      <c r="E24" s="2"/>
      <c r="F24" s="8"/>
      <c r="G24" s="8"/>
      <c r="H24" s="2"/>
      <c r="I24" s="6"/>
      <c r="J24" s="6"/>
      <c r="K24" s="9"/>
      <c r="L24" s="13"/>
      <c r="M24" s="2"/>
      <c r="N24" s="2"/>
      <c r="O24" s="18"/>
      <c r="P24" s="7"/>
    </row>
    <row r="25" spans="2:16" x14ac:dyDescent="0.25">
      <c r="B25" s="6"/>
      <c r="C25" s="7"/>
      <c r="D25" s="7"/>
      <c r="E25" s="2"/>
      <c r="F25" s="8"/>
      <c r="G25" s="8"/>
      <c r="H25" s="2"/>
      <c r="I25" s="6"/>
      <c r="J25" s="6"/>
      <c r="K25" s="9"/>
      <c r="L25" s="13"/>
      <c r="M25" s="2"/>
      <c r="N25" s="2"/>
      <c r="O25" s="18"/>
      <c r="P25" s="7"/>
    </row>
    <row r="26" spans="2:16" x14ac:dyDescent="0.25">
      <c r="B26" s="6"/>
      <c r="C26" s="7"/>
      <c r="D26" s="7"/>
      <c r="E26" s="2"/>
      <c r="F26" s="8"/>
      <c r="G26" s="8"/>
      <c r="H26" s="2"/>
      <c r="I26" s="6"/>
      <c r="J26" s="6"/>
      <c r="K26" s="9"/>
      <c r="L26" s="13"/>
      <c r="M26" s="2"/>
      <c r="N26" s="2"/>
      <c r="O26" s="18"/>
      <c r="P26" s="7"/>
    </row>
    <row r="27" spans="2:16" x14ac:dyDescent="0.25">
      <c r="B27" s="6"/>
      <c r="C27" s="7"/>
      <c r="D27" s="7"/>
      <c r="E27" s="2"/>
      <c r="F27" s="8"/>
      <c r="G27" s="8"/>
      <c r="H27" s="2"/>
      <c r="I27" s="6"/>
      <c r="J27" s="6"/>
      <c r="K27" s="9"/>
      <c r="L27" s="13"/>
      <c r="M27" s="2"/>
      <c r="N27" s="2"/>
      <c r="O27" s="18"/>
      <c r="P27" s="7"/>
    </row>
    <row r="28" spans="2:16" x14ac:dyDescent="0.25">
      <c r="B28" s="6"/>
      <c r="C28" s="7"/>
      <c r="D28" s="7"/>
      <c r="E28" s="2"/>
      <c r="F28" s="8"/>
      <c r="G28" s="8"/>
      <c r="H28" s="2"/>
      <c r="I28" s="6"/>
      <c r="J28" s="6"/>
      <c r="K28" s="9"/>
      <c r="L28" s="13"/>
      <c r="M28" s="2"/>
      <c r="N28" s="2"/>
      <c r="O28" s="18"/>
      <c r="P28" s="7"/>
    </row>
    <row r="29" spans="2:16" x14ac:dyDescent="0.25">
      <c r="B29" s="6"/>
      <c r="C29" s="7"/>
      <c r="D29" s="7"/>
      <c r="E29" s="2"/>
      <c r="F29" s="8"/>
      <c r="G29" s="8"/>
      <c r="H29" s="2"/>
      <c r="I29" s="6"/>
      <c r="J29" s="6"/>
      <c r="K29" s="9"/>
      <c r="L29" s="13"/>
      <c r="M29" s="2"/>
      <c r="N29" s="2"/>
      <c r="O29" s="18"/>
      <c r="P29" s="7"/>
    </row>
    <row r="30" spans="2:16" x14ac:dyDescent="0.25">
      <c r="B30" s="6"/>
      <c r="C30" s="7"/>
      <c r="D30" s="7"/>
      <c r="E30" s="2"/>
      <c r="F30" s="8"/>
      <c r="G30" s="8"/>
      <c r="H30" s="2"/>
      <c r="I30" s="6"/>
      <c r="J30" s="6"/>
      <c r="K30" s="9"/>
      <c r="L30" s="13"/>
      <c r="M30" s="2"/>
      <c r="N30" s="2"/>
      <c r="O30" s="18"/>
      <c r="P30" s="7"/>
    </row>
    <row r="31" spans="2:16" x14ac:dyDescent="0.25">
      <c r="B31" s="6"/>
      <c r="C31" s="7"/>
      <c r="D31" s="7"/>
      <c r="E31" s="2"/>
      <c r="F31" s="8"/>
      <c r="G31" s="8"/>
      <c r="H31" s="2"/>
      <c r="I31" s="6"/>
      <c r="J31" s="6"/>
      <c r="K31" s="9"/>
      <c r="L31" s="13"/>
      <c r="M31" s="2"/>
      <c r="N31" s="2"/>
      <c r="O31" s="18"/>
      <c r="P31" s="7"/>
    </row>
    <row r="32" spans="2:16" x14ac:dyDescent="0.25">
      <c r="B32" s="6"/>
      <c r="C32" s="7"/>
      <c r="D32" s="7"/>
      <c r="E32" s="2"/>
      <c r="F32" s="8"/>
      <c r="G32" s="8"/>
      <c r="H32" s="2"/>
      <c r="I32" s="6"/>
      <c r="J32" s="6"/>
      <c r="K32" s="9"/>
      <c r="L32" s="13"/>
      <c r="M32" s="2"/>
      <c r="N32" s="2"/>
      <c r="O32" s="18"/>
      <c r="P32" s="7"/>
    </row>
    <row r="33" spans="2:16" x14ac:dyDescent="0.25">
      <c r="B33" s="6"/>
      <c r="C33" s="7"/>
      <c r="D33" s="7"/>
      <c r="E33" s="2"/>
      <c r="F33" s="8"/>
      <c r="G33" s="8"/>
      <c r="H33" s="2"/>
      <c r="I33" s="6"/>
      <c r="J33" s="6"/>
      <c r="K33" s="9"/>
      <c r="L33" s="13"/>
      <c r="M33" s="2"/>
      <c r="N33" s="2"/>
      <c r="O33" s="18"/>
      <c r="P33" s="7"/>
    </row>
    <row r="34" spans="2:16" x14ac:dyDescent="0.25">
      <c r="B34" s="6"/>
      <c r="C34" s="7"/>
      <c r="D34" s="7"/>
      <c r="E34" s="2"/>
      <c r="F34" s="8"/>
      <c r="G34" s="8"/>
      <c r="H34" s="2"/>
      <c r="I34" s="6"/>
      <c r="J34" s="6"/>
      <c r="K34" s="9"/>
      <c r="L34" s="13"/>
      <c r="M34" s="2"/>
      <c r="N34" s="2"/>
      <c r="O34" s="18"/>
      <c r="P34" s="7"/>
    </row>
    <row r="35" spans="2:16" x14ac:dyDescent="0.25">
      <c r="B35" s="6"/>
      <c r="C35" s="7"/>
      <c r="D35" s="7"/>
      <c r="E35" s="2"/>
      <c r="F35" s="8"/>
      <c r="G35" s="8"/>
      <c r="H35" s="2"/>
      <c r="I35" s="6"/>
      <c r="J35" s="6"/>
      <c r="K35" s="9"/>
      <c r="L35" s="13"/>
      <c r="M35" s="2"/>
      <c r="N35" s="2"/>
      <c r="O35" s="18"/>
      <c r="P35" s="7"/>
    </row>
    <row r="36" spans="2:16" x14ac:dyDescent="0.25">
      <c r="B36" s="6"/>
      <c r="C36" s="7"/>
      <c r="D36" s="7"/>
      <c r="E36" s="2"/>
      <c r="F36" s="8"/>
      <c r="G36" s="8"/>
      <c r="H36" s="2"/>
      <c r="I36" s="6"/>
      <c r="J36" s="6"/>
      <c r="K36" s="9"/>
      <c r="L36" s="13"/>
      <c r="M36" s="2"/>
      <c r="N36" s="2"/>
      <c r="O36" s="18"/>
      <c r="P36" s="7"/>
    </row>
    <row r="37" spans="2:16" x14ac:dyDescent="0.25">
      <c r="B37" s="6"/>
      <c r="C37" s="7"/>
      <c r="D37" s="7"/>
      <c r="E37" s="2"/>
      <c r="F37" s="8"/>
      <c r="G37" s="8"/>
      <c r="H37" s="2"/>
      <c r="I37" s="6"/>
      <c r="J37" s="6"/>
      <c r="K37" s="9"/>
      <c r="L37" s="13"/>
      <c r="M37" s="2"/>
      <c r="N37" s="2"/>
      <c r="O37" s="18"/>
      <c r="P37" s="7"/>
    </row>
    <row r="38" spans="2:16" x14ac:dyDescent="0.25">
      <c r="B38" s="6"/>
      <c r="C38" s="7"/>
      <c r="D38" s="7"/>
      <c r="E38" s="2"/>
      <c r="F38" s="8"/>
      <c r="G38" s="8"/>
      <c r="H38" s="2"/>
      <c r="I38" s="6"/>
      <c r="J38" s="6"/>
      <c r="K38" s="9"/>
      <c r="L38" s="13"/>
      <c r="M38" s="2"/>
      <c r="N38" s="2"/>
      <c r="O38" s="18"/>
      <c r="P38" s="7"/>
    </row>
    <row r="39" spans="2:16" x14ac:dyDescent="0.25">
      <c r="B39" s="6"/>
      <c r="C39" s="7"/>
      <c r="D39" s="7"/>
      <c r="E39" s="2"/>
      <c r="F39" s="8"/>
      <c r="G39" s="8"/>
      <c r="H39" s="2"/>
      <c r="I39" s="6"/>
      <c r="J39" s="6"/>
      <c r="K39" s="9"/>
      <c r="L39" s="13"/>
      <c r="M39" s="2"/>
      <c r="N39" s="2"/>
      <c r="O39" s="18"/>
      <c r="P39" s="7"/>
    </row>
    <row r="40" spans="2:16" x14ac:dyDescent="0.25">
      <c r="B40" s="6"/>
      <c r="C40" s="7"/>
      <c r="D40" s="7"/>
      <c r="E40" s="2"/>
      <c r="F40" s="8"/>
      <c r="G40" s="8"/>
      <c r="H40" s="2"/>
      <c r="I40" s="6"/>
      <c r="J40" s="6"/>
      <c r="K40" s="9"/>
      <c r="L40" s="13"/>
      <c r="M40" s="2"/>
      <c r="N40" s="2"/>
      <c r="O40" s="18"/>
      <c r="P40" s="7"/>
    </row>
    <row r="41" spans="2:16" x14ac:dyDescent="0.25">
      <c r="B41" s="6"/>
      <c r="C41" s="7"/>
      <c r="D41" s="7"/>
      <c r="E41" s="2"/>
      <c r="F41" s="8"/>
      <c r="G41" s="8"/>
      <c r="H41" s="2"/>
      <c r="I41" s="6"/>
      <c r="J41" s="6"/>
      <c r="K41" s="9"/>
      <c r="L41" s="13"/>
      <c r="M41" s="2"/>
      <c r="N41" s="2"/>
      <c r="O41" s="18"/>
      <c r="P41" s="7"/>
    </row>
    <row r="42" spans="2:16" x14ac:dyDescent="0.25">
      <c r="B42" s="6"/>
      <c r="C42" s="7"/>
      <c r="D42" s="7"/>
      <c r="E42" s="2"/>
      <c r="F42" s="8"/>
      <c r="G42" s="8"/>
      <c r="H42" s="2"/>
      <c r="I42" s="6"/>
      <c r="J42" s="6"/>
      <c r="K42" s="9"/>
      <c r="L42" s="13"/>
      <c r="M42" s="2"/>
      <c r="N42" s="2"/>
      <c r="O42" s="18"/>
      <c r="P42" s="7"/>
    </row>
    <row r="43" spans="2:16" x14ac:dyDescent="0.25">
      <c r="B43" s="6"/>
      <c r="C43" s="7"/>
      <c r="D43" s="7"/>
      <c r="E43" s="2"/>
      <c r="F43" s="8"/>
      <c r="G43" s="8"/>
      <c r="H43" s="2"/>
      <c r="I43" s="6"/>
      <c r="J43" s="6"/>
      <c r="K43" s="9"/>
      <c r="L43" s="13"/>
      <c r="M43" s="2"/>
      <c r="N43" s="2"/>
      <c r="O43" s="18"/>
      <c r="P43" s="7"/>
    </row>
    <row r="44" spans="2:16" x14ac:dyDescent="0.25">
      <c r="B44" s="6"/>
      <c r="C44" s="7"/>
      <c r="D44" s="7"/>
      <c r="E44" s="2"/>
      <c r="F44" s="8"/>
      <c r="G44" s="8"/>
      <c r="H44" s="2"/>
      <c r="I44" s="6"/>
      <c r="J44" s="6"/>
      <c r="K44" s="9"/>
      <c r="L44" s="13"/>
      <c r="M44" s="2"/>
      <c r="N44" s="2"/>
      <c r="O44" s="18"/>
      <c r="P44" s="7"/>
    </row>
    <row r="45" spans="2:16" x14ac:dyDescent="0.25">
      <c r="B45" s="6"/>
      <c r="C45" s="7"/>
      <c r="D45" s="7"/>
      <c r="E45" s="2"/>
      <c r="F45" s="8"/>
      <c r="G45" s="8"/>
      <c r="H45" s="2"/>
      <c r="I45" s="6"/>
      <c r="J45" s="6"/>
      <c r="K45" s="9"/>
      <c r="L45" s="13"/>
      <c r="M45" s="2"/>
      <c r="N45" s="2"/>
      <c r="O45" s="18"/>
      <c r="P45" s="7"/>
    </row>
    <row r="46" spans="2:16" x14ac:dyDescent="0.25">
      <c r="B46" s="6"/>
      <c r="C46" s="7"/>
      <c r="D46" s="7"/>
      <c r="E46" s="2"/>
      <c r="F46" s="8"/>
      <c r="G46" s="8"/>
      <c r="H46" s="2"/>
      <c r="I46" s="6"/>
      <c r="J46" s="6"/>
      <c r="K46" s="9"/>
      <c r="L46" s="13"/>
      <c r="M46" s="2"/>
      <c r="N46" s="2"/>
      <c r="O46" s="18"/>
      <c r="P46" s="7"/>
    </row>
    <row r="47" spans="2:16" x14ac:dyDescent="0.25">
      <c r="B47" s="6"/>
      <c r="C47" s="7"/>
      <c r="D47" s="7"/>
      <c r="E47" s="2"/>
      <c r="F47" s="8"/>
      <c r="G47" s="8"/>
      <c r="H47" s="2"/>
      <c r="I47" s="6"/>
      <c r="J47" s="6"/>
      <c r="K47" s="9"/>
      <c r="L47" s="13"/>
      <c r="M47" s="2"/>
      <c r="N47" s="2"/>
      <c r="O47" s="18"/>
      <c r="P47" s="7"/>
    </row>
    <row r="48" spans="2:16" x14ac:dyDescent="0.25">
      <c r="B48" s="6"/>
      <c r="C48" s="7"/>
      <c r="D48" s="7"/>
      <c r="E48" s="2"/>
      <c r="F48" s="8"/>
      <c r="G48" s="8"/>
      <c r="H48" s="2"/>
      <c r="I48" s="6"/>
      <c r="J48" s="6"/>
      <c r="K48" s="9"/>
      <c r="L48" s="13"/>
      <c r="M48" s="2"/>
      <c r="N48" s="2"/>
      <c r="O48" s="18"/>
      <c r="P48" s="7"/>
    </row>
    <row r="49" spans="2:16" x14ac:dyDescent="0.25">
      <c r="B49" s="6"/>
      <c r="C49" s="7"/>
      <c r="D49" s="7"/>
      <c r="E49" s="2"/>
      <c r="F49" s="8"/>
      <c r="G49" s="8"/>
      <c r="H49" s="2"/>
      <c r="I49" s="6"/>
      <c r="J49" s="6"/>
      <c r="K49" s="9"/>
      <c r="L49" s="13"/>
      <c r="M49" s="2"/>
      <c r="N49" s="2"/>
      <c r="O49" s="18"/>
      <c r="P49" s="7"/>
    </row>
    <row r="50" spans="2:16" x14ac:dyDescent="0.25">
      <c r="B50" s="6"/>
      <c r="C50" s="7"/>
      <c r="D50" s="7"/>
      <c r="E50" s="2"/>
      <c r="F50" s="8"/>
      <c r="G50" s="8"/>
      <c r="H50" s="2"/>
      <c r="I50" s="6"/>
      <c r="J50" s="6"/>
      <c r="K50" s="9"/>
      <c r="L50" s="13"/>
      <c r="M50" s="2"/>
      <c r="N50" s="2"/>
      <c r="O50" s="18"/>
      <c r="P50" s="7"/>
    </row>
  </sheetData>
  <mergeCells count="1">
    <mergeCell ref="K10:L10"/>
  </mergeCells>
  <phoneticPr fontId="11" type="noConversion"/>
  <dataValidations count="3">
    <dataValidation type="list" showInputMessage="1" showErrorMessage="1" sqref="I2:I3" xr:uid="{3AFE246D-B9BB-48F5-944E-470FA54E5D88}">
      <formula1>"Increase By,Decrease By"</formula1>
    </dataValidation>
    <dataValidation type="list" showInputMessage="1" showErrorMessage="1" sqref="J2:J3" xr:uid="{55EA9E40-7B5C-46EC-ABC1-1A94A5D0B655}">
      <formula1>"1%,2%,3%,4%,5%,6%,7%,8%,9%,10%,15%,20%,25%,30%,35%,40%,45%,50%,55%,60%,65%,70%,75%,80%,85%,90%,95%,100%"</formula1>
    </dataValidation>
    <dataValidation showDropDown="1" showInputMessage="1" showErrorMessage="1" sqref="C5" xr:uid="{B5A0202F-5FCA-413C-B1DD-F8DF520A6BF8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pplyFiltersButton">
          <controlPr defaultSize="0" autoLine="0" r:id="rId5">
            <anchor moveWithCells="1">
              <from>
                <xdr:col>1</xdr:col>
                <xdr:colOff>38100</xdr:colOff>
                <xdr:row>6</xdr:row>
                <xdr:rowOff>28575</xdr:rowOff>
              </from>
              <to>
                <xdr:col>1</xdr:col>
                <xdr:colOff>1266825</xdr:colOff>
                <xdr:row>7</xdr:row>
                <xdr:rowOff>161925</xdr:rowOff>
              </to>
            </anchor>
          </controlPr>
        </control>
      </mc:Choice>
      <mc:Fallback>
        <control shapeId="1025" r:id="rId4" name="ApplyFiltersButton"/>
      </mc:Fallback>
    </mc:AlternateContent>
    <mc:AlternateContent xmlns:mc="http://schemas.openxmlformats.org/markup-compatibility/2006">
      <mc:Choice Requires="x14">
        <control shapeId="1026" r:id="rId6" name="ResetFiltersButton">
          <controlPr defaultSize="0" autoLine="0" r:id="rId7">
            <anchor moveWithCells="1">
              <from>
                <xdr:col>2</xdr:col>
                <xdr:colOff>76200</xdr:colOff>
                <xdr:row>6</xdr:row>
                <xdr:rowOff>19050</xdr:rowOff>
              </from>
              <to>
                <xdr:col>2</xdr:col>
                <xdr:colOff>1304925</xdr:colOff>
                <xdr:row>7</xdr:row>
                <xdr:rowOff>161925</xdr:rowOff>
              </to>
            </anchor>
          </controlPr>
        </control>
      </mc:Choice>
      <mc:Fallback>
        <control shapeId="1026" r:id="rId6" name="ResetFiltersButton"/>
      </mc:Fallback>
    </mc:AlternateContent>
    <mc:AlternateContent xmlns:mc="http://schemas.openxmlformats.org/markup-compatibility/2006">
      <mc:Choice Requires="x14">
        <control shapeId="1028" r:id="rId8" name="UploadButton">
          <controlPr defaultSize="0" autoLine="0" r:id="rId9">
            <anchor moveWithCells="1">
              <from>
                <xdr:col>4</xdr:col>
                <xdr:colOff>66675</xdr:colOff>
                <xdr:row>6</xdr:row>
                <xdr:rowOff>19050</xdr:rowOff>
              </from>
              <to>
                <xdr:col>4</xdr:col>
                <xdr:colOff>1381125</xdr:colOff>
                <xdr:row>7</xdr:row>
                <xdr:rowOff>152400</xdr:rowOff>
              </to>
            </anchor>
          </controlPr>
        </control>
      </mc:Choice>
      <mc:Fallback>
        <control shapeId="1028" r:id="rId8" name="UploadButton"/>
      </mc:Fallback>
    </mc:AlternateContent>
    <mc:AlternateContent xmlns:mc="http://schemas.openxmlformats.org/markup-compatibility/2006">
      <mc:Choice Requires="x14">
        <control shapeId="1029" r:id="rId10" name="DownloadButton">
          <controlPr defaultSize="0" autoLine="0" r:id="rId11">
            <anchor moveWithCells="1">
              <from>
                <xdr:col>5</xdr:col>
                <xdr:colOff>66675</xdr:colOff>
                <xdr:row>6</xdr:row>
                <xdr:rowOff>19050</xdr:rowOff>
              </from>
              <to>
                <xdr:col>5</xdr:col>
                <xdr:colOff>1352550</xdr:colOff>
                <xdr:row>7</xdr:row>
                <xdr:rowOff>152400</xdr:rowOff>
              </to>
            </anchor>
          </controlPr>
        </control>
      </mc:Choice>
      <mc:Fallback>
        <control shapeId="1029" r:id="rId10" name="DownloadButton"/>
      </mc:Fallback>
    </mc:AlternateContent>
    <mc:AlternateContent xmlns:mc="http://schemas.openxmlformats.org/markup-compatibility/2006">
      <mc:Choice Requires="x14">
        <control shapeId="1033" r:id="rId12" name="CalculatePriceDataButton">
          <controlPr defaultSize="0" autoLine="0" r:id="rId13">
            <anchor moveWithCells="1">
              <from>
                <xdr:col>8</xdr:col>
                <xdr:colOff>276225</xdr:colOff>
                <xdr:row>3</xdr:row>
                <xdr:rowOff>85725</xdr:rowOff>
              </from>
              <to>
                <xdr:col>9</xdr:col>
                <xdr:colOff>866775</xdr:colOff>
                <xdr:row>4</xdr:row>
                <xdr:rowOff>180975</xdr:rowOff>
              </to>
            </anchor>
          </controlPr>
        </control>
      </mc:Choice>
      <mc:Fallback>
        <control shapeId="1033" r:id="rId12" name="CalculatePriceDataButton"/>
      </mc:Fallback>
    </mc:AlternateContent>
    <mc:AlternateContent xmlns:mc="http://schemas.openxmlformats.org/markup-compatibility/2006">
      <mc:Choice Requires="x14">
        <control shapeId="1034" r:id="rId14" name="CredentialsButton">
          <controlPr defaultSize="0" autoLine="0" r:id="rId15">
            <anchor moveWithCells="1">
              <from>
                <xdr:col>4</xdr:col>
                <xdr:colOff>66675</xdr:colOff>
                <xdr:row>4</xdr:row>
                <xdr:rowOff>47625</xdr:rowOff>
              </from>
              <to>
                <xdr:col>4</xdr:col>
                <xdr:colOff>1362075</xdr:colOff>
                <xdr:row>5</xdr:row>
                <xdr:rowOff>161925</xdr:rowOff>
              </to>
            </anchor>
          </controlPr>
        </control>
      </mc:Choice>
      <mc:Fallback>
        <control shapeId="1034" r:id="rId14" name="CredentialsButton"/>
      </mc:Fallback>
    </mc:AlternateContent>
    <mc:AlternateContent xmlns:mc="http://schemas.openxmlformats.org/markup-compatibility/2006">
      <mc:Choice Requires="x14">
        <control shapeId="1041" r:id="rId16" name="AddProductsButton">
          <controlPr defaultSize="0" autoLine="0" r:id="rId17">
            <anchor moveWithCells="1">
              <from>
                <xdr:col>5</xdr:col>
                <xdr:colOff>66675</xdr:colOff>
                <xdr:row>4</xdr:row>
                <xdr:rowOff>47625</xdr:rowOff>
              </from>
              <to>
                <xdr:col>5</xdr:col>
                <xdr:colOff>1343025</xdr:colOff>
                <xdr:row>5</xdr:row>
                <xdr:rowOff>161925</xdr:rowOff>
              </to>
            </anchor>
          </controlPr>
        </control>
      </mc:Choice>
      <mc:Fallback>
        <control shapeId="1041" r:id="rId16" name="AddProduct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E295B01-5705-4A2E-8EF0-78ACE5B3FE69}">
          <x14:formula1>
            <xm:f>OFFSET(Locations!$A$1,1,0,COUNTA(Locations!$A:$A)-1,1)</xm:f>
          </x14:formula1>
          <xm:sqref>C3</xm:sqref>
        </x14:dataValidation>
        <x14:dataValidation type="list" allowBlank="1" showInputMessage="1" showErrorMessage="1" xr:uid="{7AAB28B9-50A5-456B-BEED-CBEC70880A70}">
          <x14:formula1>
            <xm:f>OFFSET(Currencies!A1,1,0,COUNTA(Currencies!A:A)-1,1)</xm:f>
          </x14:formula1>
          <xm:sqref>C4</xm:sqref>
        </x14:dataValidation>
        <x14:dataValidation type="list" allowBlank="1" showInputMessage="1" showErrorMessage="1" xr:uid="{C65E09D5-7C5A-4990-848B-75D1E2CAF0FF}">
          <x14:formula1>
            <xm:f>OFFSET(Suppliers!A1,1,0,COUNTA(Suppliers!A:A)-1,1)</xm:f>
          </x14:formula1>
          <xm:sqref>C2</xm:sqref>
        </x14:dataValidation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  <x14:dataValidation type="list" allowBlank="1" showInputMessage="1" showErrorMessage="1" xr:uid="{DDCB45BD-1163-41B7-B1B8-100F2F0BA8E4}">
          <x14:formula1>
            <xm:f>OFFSET(PriceGroups!A1,1,0,COUNTA(PriceGroups!A:A)-1,1)</xm:f>
          </x14:formula1>
          <xm:sqref>E12:E50</xm:sqref>
        </x14:dataValidation>
        <x14:dataValidation type="list" allowBlank="1" showInputMessage="1" showErrorMessage="1" xr:uid="{AD1EB331-0632-4C69-A191-47AF33A9C1B8}">
          <x14:formula1>
            <xm:f>OFFSET(PriceTypes!A1,1,0,COUNTA(PriceTypes!A:A)-1,1)</xm:f>
          </x14:formula1>
          <xm:sqref>M12:M50</xm:sqref>
        </x14:dataValidation>
        <x14:dataValidation type="list" allowBlank="1" showInputMessage="1" showErrorMessage="1" xr:uid="{84B2141D-719A-47B3-BB6E-61C43046E7A6}">
          <x14:formula1>
            <xm:f>OFFSET(Locations!A1,1,0,COUNTA(Locations!A:A)-1,1)</xm:f>
          </x14:formula1>
          <xm:sqref>N12:N50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I4" sqref="I4"/>
    </sheetView>
  </sheetViews>
  <sheetFormatPr defaultRowHeight="15" x14ac:dyDescent="0.25"/>
  <cols>
    <col min="1" max="1" width="14.140625" customWidth="1"/>
    <col min="2" max="2" width="14" customWidth="1"/>
    <col min="3" max="3" width="14.5703125" customWidth="1"/>
  </cols>
  <sheetData>
    <row r="1" spans="1:3" x14ac:dyDescent="0.25">
      <c r="A1" t="s">
        <v>503</v>
      </c>
      <c r="B1" t="s">
        <v>504</v>
      </c>
      <c r="C1" t="s">
        <v>505</v>
      </c>
    </row>
    <row r="2" spans="1:3" x14ac:dyDescent="0.25">
      <c r="A2">
        <v>0</v>
      </c>
      <c r="B2">
        <v>5</v>
      </c>
      <c r="C2">
        <v>0.99</v>
      </c>
    </row>
    <row r="3" spans="1:3" x14ac:dyDescent="0.25">
      <c r="A3">
        <v>5</v>
      </c>
      <c r="B3">
        <v>10</v>
      </c>
      <c r="C3">
        <v>0.95</v>
      </c>
    </row>
    <row r="4" spans="1:3" x14ac:dyDescent="0.25">
      <c r="A4">
        <v>10</v>
      </c>
      <c r="B4">
        <v>20</v>
      </c>
      <c r="C4">
        <v>1</v>
      </c>
    </row>
    <row r="5" spans="1:3" x14ac:dyDescent="0.25">
      <c r="A5">
        <v>20</v>
      </c>
      <c r="B5">
        <v>100</v>
      </c>
      <c r="C5">
        <v>5</v>
      </c>
    </row>
    <row r="6" spans="1:3" x14ac:dyDescent="0.25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14"/>
  <sheetViews>
    <sheetView workbookViewId="0">
      <selection activeCell="C20" sqref="C20"/>
    </sheetView>
  </sheetViews>
  <sheetFormatPr defaultRowHeight="15" x14ac:dyDescent="0.25"/>
  <cols>
    <col min="1" max="1" width="16" customWidth="1"/>
    <col min="2" max="2" width="16.28515625" customWidth="1"/>
    <col min="3" max="3" width="46.42578125" customWidth="1"/>
    <col min="4" max="4" width="19.28515625" customWidth="1"/>
    <col min="5" max="5" width="20.7109375" customWidth="1"/>
    <col min="8" max="8" width="13.7109375" customWidth="1"/>
    <col min="9" max="9" width="20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9" ht="15.75" x14ac:dyDescent="0.25">
      <c r="A2" t="s">
        <v>27</v>
      </c>
      <c r="B2" t="s">
        <v>28</v>
      </c>
      <c r="C2" t="s">
        <v>29</v>
      </c>
      <c r="D2" t="s">
        <v>12</v>
      </c>
      <c r="E2" t="s">
        <v>30</v>
      </c>
      <c r="H2" s="5" t="s">
        <v>49</v>
      </c>
      <c r="I2" s="1" t="s">
        <v>567</v>
      </c>
    </row>
    <row r="3" spans="1:9" x14ac:dyDescent="0.25">
      <c r="A3" t="s">
        <v>27</v>
      </c>
      <c r="B3" t="s">
        <v>28</v>
      </c>
      <c r="C3" t="s">
        <v>31</v>
      </c>
      <c r="D3" t="s">
        <v>18</v>
      </c>
      <c r="E3" t="s">
        <v>32</v>
      </c>
    </row>
    <row r="4" spans="1:9" x14ac:dyDescent="0.25">
      <c r="A4" t="s">
        <v>33</v>
      </c>
      <c r="B4" t="s">
        <v>34</v>
      </c>
      <c r="C4" t="s">
        <v>35</v>
      </c>
      <c r="D4" t="s">
        <v>36</v>
      </c>
      <c r="E4" t="s">
        <v>30</v>
      </c>
    </row>
    <row r="5" spans="1:9" x14ac:dyDescent="0.25">
      <c r="A5" t="s">
        <v>33</v>
      </c>
      <c r="B5" t="s">
        <v>34</v>
      </c>
      <c r="C5" t="s">
        <v>37</v>
      </c>
      <c r="D5" t="s">
        <v>38</v>
      </c>
      <c r="E5" t="s">
        <v>32</v>
      </c>
    </row>
    <row r="6" spans="1:9" x14ac:dyDescent="0.25">
      <c r="A6" t="s">
        <v>33</v>
      </c>
      <c r="B6" t="s">
        <v>34</v>
      </c>
      <c r="C6" t="s">
        <v>39</v>
      </c>
      <c r="D6" t="s">
        <v>40</v>
      </c>
      <c r="E6" t="s">
        <v>41</v>
      </c>
    </row>
    <row r="7" spans="1:9" x14ac:dyDescent="0.25">
      <c r="A7" t="s">
        <v>42</v>
      </c>
      <c r="B7" t="s">
        <v>48</v>
      </c>
      <c r="C7" t="s">
        <v>43</v>
      </c>
      <c r="D7" t="s">
        <v>44</v>
      </c>
      <c r="E7" t="s">
        <v>30</v>
      </c>
    </row>
    <row r="8" spans="1:9" x14ac:dyDescent="0.25">
      <c r="A8" t="s">
        <v>42</v>
      </c>
      <c r="B8" t="s">
        <v>48</v>
      </c>
      <c r="C8" t="s">
        <v>45</v>
      </c>
      <c r="D8" t="s">
        <v>46</v>
      </c>
      <c r="E8" t="s">
        <v>32</v>
      </c>
    </row>
    <row r="9" spans="1:9" x14ac:dyDescent="0.25">
      <c r="A9" t="s">
        <v>42</v>
      </c>
      <c r="B9" t="s">
        <v>48</v>
      </c>
      <c r="C9" t="s">
        <v>47</v>
      </c>
      <c r="D9" t="s">
        <v>12</v>
      </c>
      <c r="E9" t="s">
        <v>41</v>
      </c>
    </row>
    <row r="10" spans="1:9" x14ac:dyDescent="0.25">
      <c r="A10" t="s">
        <v>507</v>
      </c>
      <c r="B10" t="s">
        <v>477</v>
      </c>
      <c r="C10" t="s">
        <v>510</v>
      </c>
      <c r="D10" t="s">
        <v>9</v>
      </c>
      <c r="E10" t="s">
        <v>30</v>
      </c>
    </row>
    <row r="11" spans="1:9" x14ac:dyDescent="0.25">
      <c r="A11" t="s">
        <v>507</v>
      </c>
      <c r="B11" t="s">
        <v>477</v>
      </c>
      <c r="C11" t="s">
        <v>508</v>
      </c>
      <c r="D11" t="s">
        <v>512</v>
      </c>
      <c r="E11" t="s">
        <v>32</v>
      </c>
    </row>
    <row r="12" spans="1:9" x14ac:dyDescent="0.25">
      <c r="A12" t="s">
        <v>507</v>
      </c>
      <c r="B12" t="s">
        <v>477</v>
      </c>
      <c r="C12" t="s">
        <v>509</v>
      </c>
      <c r="D12" t="s">
        <v>511</v>
      </c>
      <c r="E12" t="s">
        <v>41</v>
      </c>
    </row>
    <row r="13" spans="1:9" x14ac:dyDescent="0.25">
      <c r="A13" t="s">
        <v>513</v>
      </c>
      <c r="B13" t="s">
        <v>478</v>
      </c>
      <c r="C13" t="s">
        <v>514</v>
      </c>
      <c r="D13" t="s">
        <v>56</v>
      </c>
      <c r="E13" t="s">
        <v>30</v>
      </c>
    </row>
    <row r="14" spans="1:9" x14ac:dyDescent="0.25">
      <c r="A14" t="s">
        <v>513</v>
      </c>
      <c r="B14" t="s">
        <v>478</v>
      </c>
      <c r="C14" t="s">
        <v>515</v>
      </c>
      <c r="D14" t="s">
        <v>516</v>
      </c>
      <c r="E14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771525</xdr:colOff>
                <xdr:row>4</xdr:row>
                <xdr:rowOff>180975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D11" sqref="D11"/>
    </sheetView>
  </sheetViews>
  <sheetFormatPr defaultRowHeight="15" x14ac:dyDescent="0.25"/>
  <cols>
    <col min="1" max="1" width="27.28515625" customWidth="1"/>
    <col min="2" max="2" width="69.42578125" customWidth="1"/>
    <col min="7" max="7" width="13.85546875" customWidth="1"/>
  </cols>
  <sheetData>
    <row r="1" spans="1:7" ht="15.75" x14ac:dyDescent="0.25">
      <c r="A1" s="5" t="s">
        <v>479</v>
      </c>
      <c r="B1" s="5" t="s">
        <v>480</v>
      </c>
      <c r="F1" s="21" t="s">
        <v>485</v>
      </c>
      <c r="G1" s="22" t="s">
        <v>486</v>
      </c>
    </row>
    <row r="2" spans="1:7" ht="15.75" x14ac:dyDescent="0.25">
      <c r="A2" s="19" t="s">
        <v>481</v>
      </c>
      <c r="B2">
        <v>11</v>
      </c>
      <c r="F2" s="21" t="s">
        <v>487</v>
      </c>
      <c r="G2" s="22">
        <v>39833</v>
      </c>
    </row>
    <row r="3" spans="1:7" x14ac:dyDescent="0.25">
      <c r="A3" t="s">
        <v>482</v>
      </c>
      <c r="B3">
        <v>2</v>
      </c>
    </row>
    <row r="4" spans="1:7" x14ac:dyDescent="0.25">
      <c r="A4" s="19" t="s">
        <v>490</v>
      </c>
      <c r="B4" s="20" t="str">
        <f>"http://" &amp; G1 &amp; ":" &amp; G2 &amp; "/WebRestApi/rest/configuration/export"</f>
        <v>http://44.215.65.28:39833/WebRestApi/rest/configuration/export</v>
      </c>
    </row>
    <row r="5" spans="1:7" x14ac:dyDescent="0.25">
      <c r="A5" s="19" t="s">
        <v>488</v>
      </c>
      <c r="B5" s="20" t="str">
        <f>"http://" &amp; G1 &amp; ":" &amp; G2 &amp; "/WebRestApi/rest/priceManagementWorksheets"</f>
        <v>http://44.215.65.28:39833/WebRestApi/rest/priceManagementWorksheets</v>
      </c>
    </row>
    <row r="6" spans="1:7" x14ac:dyDescent="0.25">
      <c r="A6" s="19" t="s">
        <v>489</v>
      </c>
      <c r="B6" s="20" t="str">
        <f>"http://" &amp; G1 &amp; ":" &amp; G2 &amp; "/WebRestApi/rest/priceManagementWorksheets/"</f>
        <v>http://44.215.65.28:39833/WebRestApi/rest/priceManagementWorksheets/</v>
      </c>
    </row>
    <row r="7" spans="1:7" x14ac:dyDescent="0.25">
      <c r="A7" s="19" t="s">
        <v>483</v>
      </c>
      <c r="B7" t="s">
        <v>484</v>
      </c>
    </row>
    <row r="8" spans="1:7" x14ac:dyDescent="0.25">
      <c r="A8" s="19"/>
      <c r="B8" s="20"/>
    </row>
    <row r="9" spans="1:7" x14ac:dyDescent="0.25">
      <c r="B9" s="20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4"/>
  <sheetViews>
    <sheetView zoomScale="89" workbookViewId="0">
      <selection activeCell="H1" sqref="H1"/>
    </sheetView>
  </sheetViews>
  <sheetFormatPr defaultRowHeight="15" x14ac:dyDescent="0.25"/>
  <cols>
    <col min="1" max="1" width="21.7109375" customWidth="1"/>
    <col min="2" max="2" width="13.140625" customWidth="1"/>
    <col min="3" max="3" width="19" customWidth="1"/>
    <col min="4" max="4" width="13.42578125" customWidth="1"/>
    <col min="5" max="5" width="13.7109375" customWidth="1"/>
    <col min="6" max="6" width="17" customWidth="1"/>
    <col min="7" max="7" width="14.7109375" customWidth="1"/>
    <col min="8" max="8" width="20.140625" customWidth="1"/>
    <col min="9" max="9" width="15.42578125" customWidth="1"/>
    <col min="10" max="10" width="20" customWidth="1"/>
  </cols>
  <sheetData>
    <row r="1" spans="1:10" s="5" customFormat="1" ht="15.75" x14ac:dyDescent="0.25">
      <c r="A1" s="5" t="s">
        <v>457</v>
      </c>
      <c r="B1" s="5" t="s">
        <v>458</v>
      </c>
      <c r="C1" s="5" t="s">
        <v>460</v>
      </c>
      <c r="D1" s="5" t="s">
        <v>459</v>
      </c>
      <c r="E1" s="5" t="s">
        <v>26</v>
      </c>
      <c r="F1" s="5" t="s">
        <v>461</v>
      </c>
      <c r="G1" s="5" t="s">
        <v>462</v>
      </c>
      <c r="H1" s="5" t="s">
        <v>465</v>
      </c>
      <c r="I1" s="5" t="s">
        <v>464</v>
      </c>
      <c r="J1" s="5" t="s">
        <v>463</v>
      </c>
    </row>
    <row r="2" spans="1:10" x14ac:dyDescent="0.25">
      <c r="A2" t="s">
        <v>466</v>
      </c>
      <c r="B2" t="s">
        <v>473</v>
      </c>
      <c r="D2">
        <v>2</v>
      </c>
      <c r="E2">
        <v>3</v>
      </c>
      <c r="F2" t="s">
        <v>475</v>
      </c>
      <c r="G2" t="s">
        <v>48</v>
      </c>
      <c r="H2">
        <v>1</v>
      </c>
      <c r="I2">
        <v>2</v>
      </c>
    </row>
    <row r="3" spans="1:10" x14ac:dyDescent="0.25">
      <c r="A3" t="s">
        <v>36</v>
      </c>
      <c r="B3" t="s">
        <v>473</v>
      </c>
      <c r="D3">
        <v>3</v>
      </c>
      <c r="E3">
        <v>3</v>
      </c>
      <c r="F3" t="s">
        <v>475</v>
      </c>
      <c r="G3" t="s">
        <v>34</v>
      </c>
      <c r="H3">
        <v>1</v>
      </c>
      <c r="I3">
        <v>2</v>
      </c>
    </row>
    <row r="4" spans="1:10" x14ac:dyDescent="0.25">
      <c r="A4" t="s">
        <v>12</v>
      </c>
      <c r="B4" t="s">
        <v>473</v>
      </c>
      <c r="D4">
        <v>4</v>
      </c>
      <c r="E4">
        <v>3</v>
      </c>
      <c r="F4" t="s">
        <v>475</v>
      </c>
      <c r="G4" t="s">
        <v>28</v>
      </c>
      <c r="H4">
        <v>1</v>
      </c>
      <c r="I4">
        <v>2</v>
      </c>
    </row>
    <row r="5" spans="1:10" x14ac:dyDescent="0.25">
      <c r="A5" t="s">
        <v>6</v>
      </c>
      <c r="B5" t="s">
        <v>473</v>
      </c>
      <c r="D5">
        <v>2</v>
      </c>
      <c r="E5">
        <v>6</v>
      </c>
      <c r="F5" t="s">
        <v>476</v>
      </c>
    </row>
    <row r="6" spans="1:10" x14ac:dyDescent="0.25">
      <c r="A6" t="s">
        <v>7</v>
      </c>
      <c r="B6" t="s">
        <v>473</v>
      </c>
      <c r="D6">
        <v>3</v>
      </c>
      <c r="E6">
        <v>6</v>
      </c>
      <c r="F6" t="s">
        <v>476</v>
      </c>
    </row>
    <row r="7" spans="1:10" x14ac:dyDescent="0.25">
      <c r="A7" t="s">
        <v>8</v>
      </c>
      <c r="B7" t="s">
        <v>473</v>
      </c>
      <c r="D7">
        <v>4</v>
      </c>
      <c r="E7">
        <v>6</v>
      </c>
      <c r="F7" t="s">
        <v>476</v>
      </c>
    </row>
    <row r="8" spans="1:10" x14ac:dyDescent="0.25">
      <c r="A8" t="s">
        <v>500</v>
      </c>
      <c r="B8" t="s">
        <v>473</v>
      </c>
      <c r="D8">
        <v>2</v>
      </c>
      <c r="E8">
        <v>9</v>
      </c>
      <c r="F8" t="s">
        <v>502</v>
      </c>
    </row>
    <row r="9" spans="1:10" x14ac:dyDescent="0.25">
      <c r="A9" t="s">
        <v>501</v>
      </c>
      <c r="B9" t="s">
        <v>473</v>
      </c>
      <c r="D9">
        <v>3</v>
      </c>
      <c r="E9">
        <v>9</v>
      </c>
      <c r="F9" t="s">
        <v>502</v>
      </c>
    </row>
    <row r="10" spans="1:10" x14ac:dyDescent="0.25">
      <c r="A10" t="s">
        <v>3</v>
      </c>
      <c r="B10" t="s">
        <v>26</v>
      </c>
      <c r="C10" t="s">
        <v>3</v>
      </c>
      <c r="E10">
        <v>2</v>
      </c>
      <c r="F10" t="s">
        <v>474</v>
      </c>
    </row>
    <row r="11" spans="1:10" x14ac:dyDescent="0.25">
      <c r="A11" t="s">
        <v>4</v>
      </c>
      <c r="B11" t="s">
        <v>26</v>
      </c>
      <c r="C11" t="s">
        <v>4</v>
      </c>
      <c r="E11">
        <v>3</v>
      </c>
      <c r="F11" t="s">
        <v>474</v>
      </c>
    </row>
    <row r="12" spans="1:10" x14ac:dyDescent="0.25">
      <c r="A12" t="s">
        <v>467</v>
      </c>
      <c r="B12" t="s">
        <v>26</v>
      </c>
      <c r="C12" t="s">
        <v>467</v>
      </c>
      <c r="E12">
        <v>4</v>
      </c>
      <c r="F12" t="s">
        <v>474</v>
      </c>
    </row>
    <row r="13" spans="1:10" x14ac:dyDescent="0.25">
      <c r="A13" t="s">
        <v>9</v>
      </c>
      <c r="B13" t="s">
        <v>26</v>
      </c>
      <c r="C13" t="s">
        <v>9</v>
      </c>
      <c r="E13">
        <v>5</v>
      </c>
      <c r="F13" t="s">
        <v>474</v>
      </c>
      <c r="G13" t="s">
        <v>597</v>
      </c>
      <c r="H13">
        <v>1</v>
      </c>
      <c r="I13">
        <v>2</v>
      </c>
    </row>
    <row r="14" spans="1:10" x14ac:dyDescent="0.25">
      <c r="A14" t="s">
        <v>15</v>
      </c>
      <c r="B14" t="s">
        <v>26</v>
      </c>
      <c r="C14" t="s">
        <v>15</v>
      </c>
      <c r="E14">
        <v>6</v>
      </c>
      <c r="F14" t="s">
        <v>474</v>
      </c>
    </row>
    <row r="15" spans="1:10" x14ac:dyDescent="0.25">
      <c r="A15" t="s">
        <v>14</v>
      </c>
      <c r="B15" t="s">
        <v>26</v>
      </c>
      <c r="C15" t="s">
        <v>14</v>
      </c>
      <c r="E15">
        <v>7</v>
      </c>
      <c r="F15" t="s">
        <v>474</v>
      </c>
    </row>
    <row r="16" spans="1:10" x14ac:dyDescent="0.25">
      <c r="A16" t="s">
        <v>472</v>
      </c>
      <c r="B16" t="s">
        <v>26</v>
      </c>
      <c r="C16" t="s">
        <v>12</v>
      </c>
      <c r="E16">
        <v>8</v>
      </c>
      <c r="F16" t="s">
        <v>474</v>
      </c>
      <c r="G16" t="s">
        <v>28</v>
      </c>
      <c r="H16">
        <v>1</v>
      </c>
      <c r="I16">
        <v>2</v>
      </c>
    </row>
    <row r="17" spans="1:9" x14ac:dyDescent="0.25">
      <c r="A17" t="s">
        <v>10</v>
      </c>
      <c r="B17" t="s">
        <v>26</v>
      </c>
      <c r="C17" t="s">
        <v>10</v>
      </c>
      <c r="E17">
        <v>9</v>
      </c>
      <c r="F17" t="s">
        <v>474</v>
      </c>
    </row>
    <row r="18" spans="1:9" x14ac:dyDescent="0.25">
      <c r="A18" t="s">
        <v>468</v>
      </c>
      <c r="B18" t="s">
        <v>26</v>
      </c>
      <c r="C18" t="s">
        <v>468</v>
      </c>
      <c r="E18">
        <v>10</v>
      </c>
      <c r="F18" t="s">
        <v>474</v>
      </c>
    </row>
    <row r="19" spans="1:9" x14ac:dyDescent="0.25">
      <c r="A19" t="s">
        <v>469</v>
      </c>
      <c r="B19" t="s">
        <v>26</v>
      </c>
      <c r="C19" t="s">
        <v>592</v>
      </c>
      <c r="E19">
        <v>11</v>
      </c>
      <c r="F19" t="s">
        <v>474</v>
      </c>
    </row>
    <row r="20" spans="1:9" x14ac:dyDescent="0.25">
      <c r="A20" t="s">
        <v>470</v>
      </c>
      <c r="B20" t="s">
        <v>26</v>
      </c>
      <c r="C20" t="s">
        <v>593</v>
      </c>
      <c r="E20">
        <v>12</v>
      </c>
      <c r="F20" t="s">
        <v>474</v>
      </c>
    </row>
    <row r="21" spans="1:9" x14ac:dyDescent="0.25">
      <c r="A21" t="s">
        <v>56</v>
      </c>
      <c r="B21" t="s">
        <v>26</v>
      </c>
      <c r="C21" t="s">
        <v>56</v>
      </c>
      <c r="E21">
        <v>13</v>
      </c>
      <c r="F21" t="s">
        <v>474</v>
      </c>
      <c r="G21" t="s">
        <v>598</v>
      </c>
      <c r="H21">
        <v>1</v>
      </c>
      <c r="I21">
        <v>2</v>
      </c>
    </row>
    <row r="22" spans="1:9" x14ac:dyDescent="0.25">
      <c r="A22" t="s">
        <v>471</v>
      </c>
      <c r="B22" t="s">
        <v>26</v>
      </c>
      <c r="C22" t="s">
        <v>36</v>
      </c>
      <c r="E22">
        <v>14</v>
      </c>
      <c r="F22" t="s">
        <v>474</v>
      </c>
      <c r="G22" t="s">
        <v>34</v>
      </c>
      <c r="H22">
        <v>1</v>
      </c>
      <c r="I22">
        <v>2</v>
      </c>
    </row>
    <row r="23" spans="1:9" x14ac:dyDescent="0.25">
      <c r="A23" t="s">
        <v>54</v>
      </c>
      <c r="B23" t="s">
        <v>26</v>
      </c>
      <c r="C23" t="s">
        <v>54</v>
      </c>
      <c r="E23">
        <v>15</v>
      </c>
      <c r="F23" t="s">
        <v>474</v>
      </c>
    </row>
    <row r="24" spans="1:9" x14ac:dyDescent="0.25">
      <c r="A24" t="s">
        <v>55</v>
      </c>
      <c r="B24" t="s">
        <v>26</v>
      </c>
      <c r="C24" t="s">
        <v>55</v>
      </c>
      <c r="E24">
        <v>16</v>
      </c>
      <c r="F24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4"/>
  <sheetViews>
    <sheetView workbookViewId="0">
      <selection activeCell="G14" sqref="G14"/>
    </sheetView>
  </sheetViews>
  <sheetFormatPr defaultRowHeight="15" x14ac:dyDescent="0.25"/>
  <cols>
    <col min="1" max="1" width="16.42578125" customWidth="1"/>
    <col min="2" max="2" width="17.28515625" customWidth="1"/>
    <col min="7" max="8" width="9.140625" customWidth="1"/>
  </cols>
  <sheetData>
    <row r="1" spans="1:2" ht="15.75" x14ac:dyDescent="0.25">
      <c r="A1" s="5" t="s">
        <v>12</v>
      </c>
      <c r="B1" s="5" t="s">
        <v>57</v>
      </c>
    </row>
    <row r="2" spans="1:2" x14ac:dyDescent="0.25">
      <c r="A2" t="s">
        <v>58</v>
      </c>
      <c r="B2" t="s">
        <v>59</v>
      </c>
    </row>
    <row r="3" spans="1:2" x14ac:dyDescent="0.25">
      <c r="A3" t="s">
        <v>60</v>
      </c>
      <c r="B3" t="s">
        <v>61</v>
      </c>
    </row>
    <row r="4" spans="1:2" x14ac:dyDescent="0.25">
      <c r="A4" t="s">
        <v>62</v>
      </c>
      <c r="B4" t="s">
        <v>63</v>
      </c>
    </row>
    <row r="5" spans="1:2" x14ac:dyDescent="0.25">
      <c r="A5" t="s">
        <v>64</v>
      </c>
      <c r="B5" t="s">
        <v>65</v>
      </c>
    </row>
    <row r="6" spans="1:2" x14ac:dyDescent="0.25">
      <c r="A6" t="s">
        <v>66</v>
      </c>
      <c r="B6" t="s">
        <v>67</v>
      </c>
    </row>
    <row r="7" spans="1:2" x14ac:dyDescent="0.25">
      <c r="A7" t="s">
        <v>68</v>
      </c>
      <c r="B7" t="s">
        <v>69</v>
      </c>
    </row>
    <row r="8" spans="1:2" x14ac:dyDescent="0.25">
      <c r="A8" t="s">
        <v>70</v>
      </c>
      <c r="B8" t="s">
        <v>71</v>
      </c>
    </row>
    <row r="9" spans="1:2" x14ac:dyDescent="0.25">
      <c r="A9" t="s">
        <v>72</v>
      </c>
      <c r="B9" t="s">
        <v>73</v>
      </c>
    </row>
    <row r="10" spans="1:2" x14ac:dyDescent="0.25">
      <c r="A10" t="s">
        <v>74</v>
      </c>
      <c r="B10" t="s">
        <v>75</v>
      </c>
    </row>
    <row r="11" spans="1:2" x14ac:dyDescent="0.25">
      <c r="A11" t="s">
        <v>76</v>
      </c>
      <c r="B11" t="s">
        <v>77</v>
      </c>
    </row>
    <row r="12" spans="1:2" x14ac:dyDescent="0.25">
      <c r="A12" t="s">
        <v>78</v>
      </c>
      <c r="B12" t="s">
        <v>79</v>
      </c>
    </row>
    <row r="13" spans="1:2" x14ac:dyDescent="0.25">
      <c r="A13" t="s">
        <v>80</v>
      </c>
      <c r="B13" t="s">
        <v>81</v>
      </c>
    </row>
    <row r="14" spans="1:2" x14ac:dyDescent="0.25">
      <c r="A14" t="s">
        <v>82</v>
      </c>
      <c r="B14" t="s">
        <v>83</v>
      </c>
    </row>
    <row r="15" spans="1:2" x14ac:dyDescent="0.25">
      <c r="A15" t="s">
        <v>84</v>
      </c>
      <c r="B15" t="s">
        <v>85</v>
      </c>
    </row>
    <row r="16" spans="1:2" x14ac:dyDescent="0.25">
      <c r="A16" t="s">
        <v>86</v>
      </c>
      <c r="B16" t="s">
        <v>87</v>
      </c>
    </row>
    <row r="17" spans="1:2" x14ac:dyDescent="0.25">
      <c r="A17" t="s">
        <v>88</v>
      </c>
      <c r="B17" t="s">
        <v>89</v>
      </c>
    </row>
    <row r="18" spans="1:2" x14ac:dyDescent="0.25">
      <c r="A18" t="s">
        <v>90</v>
      </c>
      <c r="B18" t="s">
        <v>91</v>
      </c>
    </row>
    <row r="19" spans="1:2" x14ac:dyDescent="0.25">
      <c r="A19" t="s">
        <v>92</v>
      </c>
      <c r="B19" t="s">
        <v>93</v>
      </c>
    </row>
    <row r="20" spans="1:2" x14ac:dyDescent="0.25">
      <c r="A20" t="s">
        <v>94</v>
      </c>
      <c r="B20" t="s">
        <v>95</v>
      </c>
    </row>
    <row r="21" spans="1:2" x14ac:dyDescent="0.25">
      <c r="A21" t="s">
        <v>96</v>
      </c>
      <c r="B21" t="s">
        <v>97</v>
      </c>
    </row>
    <row r="22" spans="1:2" x14ac:dyDescent="0.25">
      <c r="A22" t="s">
        <v>98</v>
      </c>
      <c r="B22" t="s">
        <v>99</v>
      </c>
    </row>
    <row r="23" spans="1:2" x14ac:dyDescent="0.25">
      <c r="A23" t="s">
        <v>100</v>
      </c>
      <c r="B23" t="s">
        <v>101</v>
      </c>
    </row>
    <row r="24" spans="1:2" x14ac:dyDescent="0.25">
      <c r="A24" t="s">
        <v>102</v>
      </c>
      <c r="B24" t="s">
        <v>103</v>
      </c>
    </row>
    <row r="25" spans="1:2" x14ac:dyDescent="0.25">
      <c r="A25" t="s">
        <v>104</v>
      </c>
      <c r="B25" t="s">
        <v>105</v>
      </c>
    </row>
    <row r="26" spans="1:2" x14ac:dyDescent="0.25">
      <c r="A26" t="s">
        <v>106</v>
      </c>
      <c r="B26" t="s">
        <v>107</v>
      </c>
    </row>
    <row r="27" spans="1:2" x14ac:dyDescent="0.25">
      <c r="A27" t="s">
        <v>108</v>
      </c>
      <c r="B27" t="s">
        <v>109</v>
      </c>
    </row>
    <row r="28" spans="1:2" x14ac:dyDescent="0.25">
      <c r="A28" t="s">
        <v>110</v>
      </c>
      <c r="B28" t="s">
        <v>111</v>
      </c>
    </row>
    <row r="29" spans="1:2" x14ac:dyDescent="0.25">
      <c r="A29" t="s">
        <v>112</v>
      </c>
      <c r="B29" t="s">
        <v>113</v>
      </c>
    </row>
    <row r="30" spans="1:2" x14ac:dyDescent="0.25">
      <c r="A30" t="s">
        <v>114</v>
      </c>
      <c r="B30" t="s">
        <v>115</v>
      </c>
    </row>
    <row r="31" spans="1:2" x14ac:dyDescent="0.25">
      <c r="A31" t="s">
        <v>116</v>
      </c>
      <c r="B31" t="s">
        <v>117</v>
      </c>
    </row>
    <row r="32" spans="1:2" x14ac:dyDescent="0.25">
      <c r="A32" t="s">
        <v>118</v>
      </c>
      <c r="B32" t="s">
        <v>119</v>
      </c>
    </row>
    <row r="33" spans="1:2" x14ac:dyDescent="0.25">
      <c r="A33" t="s">
        <v>120</v>
      </c>
      <c r="B33" t="s">
        <v>121</v>
      </c>
    </row>
    <row r="34" spans="1:2" x14ac:dyDescent="0.25">
      <c r="A34" t="s">
        <v>122</v>
      </c>
      <c r="B34" t="s">
        <v>123</v>
      </c>
    </row>
    <row r="35" spans="1:2" x14ac:dyDescent="0.25">
      <c r="A35" t="s">
        <v>124</v>
      </c>
      <c r="B35" t="s">
        <v>125</v>
      </c>
    </row>
    <row r="36" spans="1:2" x14ac:dyDescent="0.25">
      <c r="A36" t="s">
        <v>126</v>
      </c>
      <c r="B36" t="s">
        <v>127</v>
      </c>
    </row>
    <row r="37" spans="1:2" x14ac:dyDescent="0.25">
      <c r="A37" t="s">
        <v>128</v>
      </c>
      <c r="B37" t="s">
        <v>129</v>
      </c>
    </row>
    <row r="38" spans="1:2" x14ac:dyDescent="0.25">
      <c r="A38" t="s">
        <v>130</v>
      </c>
      <c r="B38" t="s">
        <v>131</v>
      </c>
    </row>
    <row r="39" spans="1:2" x14ac:dyDescent="0.25">
      <c r="A39" t="s">
        <v>132</v>
      </c>
      <c r="B39" t="s">
        <v>133</v>
      </c>
    </row>
    <row r="40" spans="1:2" x14ac:dyDescent="0.25">
      <c r="A40" t="s">
        <v>134</v>
      </c>
      <c r="B40" t="s">
        <v>135</v>
      </c>
    </row>
    <row r="41" spans="1:2" x14ac:dyDescent="0.25">
      <c r="A41" t="s">
        <v>136</v>
      </c>
      <c r="B41" t="s">
        <v>137</v>
      </c>
    </row>
    <row r="42" spans="1:2" x14ac:dyDescent="0.25">
      <c r="A42" t="s">
        <v>138</v>
      </c>
      <c r="B42" t="s">
        <v>139</v>
      </c>
    </row>
    <row r="43" spans="1:2" x14ac:dyDescent="0.25">
      <c r="A43" t="s">
        <v>140</v>
      </c>
      <c r="B43" t="s">
        <v>141</v>
      </c>
    </row>
    <row r="44" spans="1:2" x14ac:dyDescent="0.25">
      <c r="A44" t="s">
        <v>142</v>
      </c>
      <c r="B44" t="s">
        <v>143</v>
      </c>
    </row>
    <row r="45" spans="1:2" x14ac:dyDescent="0.25">
      <c r="A45" t="s">
        <v>144</v>
      </c>
      <c r="B45" t="s">
        <v>145</v>
      </c>
    </row>
    <row r="46" spans="1:2" x14ac:dyDescent="0.25">
      <c r="A46" t="s">
        <v>146</v>
      </c>
      <c r="B46" t="s">
        <v>147</v>
      </c>
    </row>
    <row r="47" spans="1:2" x14ac:dyDescent="0.25">
      <c r="A47" t="s">
        <v>148</v>
      </c>
      <c r="B47" t="s">
        <v>149</v>
      </c>
    </row>
    <row r="48" spans="1:2" x14ac:dyDescent="0.25">
      <c r="A48" t="s">
        <v>150</v>
      </c>
      <c r="B48" t="s">
        <v>151</v>
      </c>
    </row>
    <row r="49" spans="1:2" x14ac:dyDescent="0.25">
      <c r="A49" t="s">
        <v>152</v>
      </c>
      <c r="B49" t="s">
        <v>153</v>
      </c>
    </row>
    <row r="50" spans="1:2" x14ac:dyDescent="0.25">
      <c r="A50" t="s">
        <v>154</v>
      </c>
      <c r="B50" t="s">
        <v>155</v>
      </c>
    </row>
    <row r="51" spans="1:2" x14ac:dyDescent="0.25">
      <c r="A51" t="s">
        <v>156</v>
      </c>
      <c r="B51" t="s">
        <v>157</v>
      </c>
    </row>
    <row r="52" spans="1:2" x14ac:dyDescent="0.25">
      <c r="A52" t="s">
        <v>158</v>
      </c>
      <c r="B52" t="s">
        <v>159</v>
      </c>
    </row>
    <row r="53" spans="1:2" x14ac:dyDescent="0.25">
      <c r="A53" t="s">
        <v>160</v>
      </c>
      <c r="B53" t="s">
        <v>161</v>
      </c>
    </row>
    <row r="54" spans="1:2" x14ac:dyDescent="0.25">
      <c r="A54" t="s">
        <v>162</v>
      </c>
      <c r="B54" t="s">
        <v>163</v>
      </c>
    </row>
    <row r="55" spans="1:2" x14ac:dyDescent="0.25">
      <c r="A55" t="s">
        <v>164</v>
      </c>
      <c r="B55" t="s">
        <v>165</v>
      </c>
    </row>
    <row r="56" spans="1:2" x14ac:dyDescent="0.25">
      <c r="A56" t="s">
        <v>166</v>
      </c>
      <c r="B56" t="s">
        <v>167</v>
      </c>
    </row>
    <row r="57" spans="1:2" x14ac:dyDescent="0.25">
      <c r="A57" t="s">
        <v>168</v>
      </c>
      <c r="B57" t="s">
        <v>169</v>
      </c>
    </row>
    <row r="58" spans="1:2" x14ac:dyDescent="0.25">
      <c r="A58" t="s">
        <v>170</v>
      </c>
      <c r="B58" t="s">
        <v>171</v>
      </c>
    </row>
    <row r="59" spans="1:2" x14ac:dyDescent="0.25">
      <c r="A59" t="s">
        <v>172</v>
      </c>
      <c r="B59" t="s">
        <v>173</v>
      </c>
    </row>
    <row r="60" spans="1:2" x14ac:dyDescent="0.25">
      <c r="A60" t="s">
        <v>174</v>
      </c>
      <c r="B60" t="s">
        <v>175</v>
      </c>
    </row>
    <row r="61" spans="1:2" x14ac:dyDescent="0.25">
      <c r="A61" t="s">
        <v>176</v>
      </c>
      <c r="B61" t="s">
        <v>177</v>
      </c>
    </row>
    <row r="62" spans="1:2" x14ac:dyDescent="0.25">
      <c r="A62" t="s">
        <v>178</v>
      </c>
      <c r="B62" t="s">
        <v>179</v>
      </c>
    </row>
    <row r="63" spans="1:2" x14ac:dyDescent="0.25">
      <c r="A63" t="s">
        <v>180</v>
      </c>
      <c r="B63" t="s">
        <v>181</v>
      </c>
    </row>
    <row r="64" spans="1:2" x14ac:dyDescent="0.25">
      <c r="A64" t="s">
        <v>182</v>
      </c>
      <c r="B64" t="s">
        <v>183</v>
      </c>
    </row>
    <row r="65" spans="1:2" x14ac:dyDescent="0.25">
      <c r="A65" t="s">
        <v>184</v>
      </c>
      <c r="B65" t="s">
        <v>185</v>
      </c>
    </row>
    <row r="66" spans="1:2" x14ac:dyDescent="0.25">
      <c r="A66" t="s">
        <v>186</v>
      </c>
      <c r="B66" t="s">
        <v>187</v>
      </c>
    </row>
    <row r="67" spans="1:2" x14ac:dyDescent="0.25">
      <c r="A67" t="s">
        <v>188</v>
      </c>
      <c r="B67" t="s">
        <v>189</v>
      </c>
    </row>
    <row r="68" spans="1:2" x14ac:dyDescent="0.25">
      <c r="A68" t="s">
        <v>190</v>
      </c>
      <c r="B68" t="s">
        <v>191</v>
      </c>
    </row>
    <row r="69" spans="1:2" x14ac:dyDescent="0.25">
      <c r="A69" t="s">
        <v>192</v>
      </c>
      <c r="B69" t="s">
        <v>193</v>
      </c>
    </row>
    <row r="70" spans="1:2" x14ac:dyDescent="0.25">
      <c r="A70" t="s">
        <v>194</v>
      </c>
      <c r="B70" t="s">
        <v>195</v>
      </c>
    </row>
    <row r="71" spans="1:2" x14ac:dyDescent="0.25">
      <c r="A71" t="s">
        <v>196</v>
      </c>
      <c r="B71" t="s">
        <v>197</v>
      </c>
    </row>
    <row r="72" spans="1:2" x14ac:dyDescent="0.25">
      <c r="A72" t="s">
        <v>198</v>
      </c>
      <c r="B72" t="s">
        <v>199</v>
      </c>
    </row>
    <row r="73" spans="1:2" x14ac:dyDescent="0.25">
      <c r="A73" t="s">
        <v>200</v>
      </c>
      <c r="B73" t="s">
        <v>201</v>
      </c>
    </row>
    <row r="74" spans="1:2" x14ac:dyDescent="0.25">
      <c r="A74" t="s">
        <v>202</v>
      </c>
      <c r="B74" t="s">
        <v>203</v>
      </c>
    </row>
    <row r="75" spans="1:2" x14ac:dyDescent="0.25">
      <c r="A75" t="s">
        <v>204</v>
      </c>
      <c r="B75" t="s">
        <v>205</v>
      </c>
    </row>
    <row r="76" spans="1:2" x14ac:dyDescent="0.25">
      <c r="A76" t="s">
        <v>206</v>
      </c>
      <c r="B76" t="s">
        <v>207</v>
      </c>
    </row>
    <row r="77" spans="1:2" x14ac:dyDescent="0.25">
      <c r="A77" t="s">
        <v>208</v>
      </c>
      <c r="B77" t="s">
        <v>209</v>
      </c>
    </row>
    <row r="78" spans="1:2" x14ac:dyDescent="0.25">
      <c r="A78" t="s">
        <v>210</v>
      </c>
      <c r="B78" t="s">
        <v>211</v>
      </c>
    </row>
    <row r="79" spans="1:2" x14ac:dyDescent="0.25">
      <c r="A79" t="s">
        <v>212</v>
      </c>
      <c r="B79" t="s">
        <v>213</v>
      </c>
    </row>
    <row r="80" spans="1:2" x14ac:dyDescent="0.25">
      <c r="A80" t="s">
        <v>214</v>
      </c>
      <c r="B80" t="s">
        <v>215</v>
      </c>
    </row>
    <row r="81" spans="1:2" x14ac:dyDescent="0.25">
      <c r="A81" t="s">
        <v>216</v>
      </c>
      <c r="B81" t="s">
        <v>217</v>
      </c>
    </row>
    <row r="82" spans="1:2" x14ac:dyDescent="0.25">
      <c r="A82" t="s">
        <v>218</v>
      </c>
      <c r="B82" t="s">
        <v>219</v>
      </c>
    </row>
    <row r="83" spans="1:2" x14ac:dyDescent="0.25">
      <c r="A83" t="s">
        <v>220</v>
      </c>
      <c r="B83" t="s">
        <v>221</v>
      </c>
    </row>
    <row r="84" spans="1:2" x14ac:dyDescent="0.25">
      <c r="A84" t="s">
        <v>222</v>
      </c>
      <c r="B84" t="s">
        <v>223</v>
      </c>
    </row>
    <row r="85" spans="1:2" x14ac:dyDescent="0.25">
      <c r="A85" t="s">
        <v>224</v>
      </c>
      <c r="B85" t="s">
        <v>225</v>
      </c>
    </row>
    <row r="86" spans="1:2" x14ac:dyDescent="0.25">
      <c r="A86" t="s">
        <v>226</v>
      </c>
      <c r="B86" t="s">
        <v>227</v>
      </c>
    </row>
    <row r="87" spans="1:2" x14ac:dyDescent="0.25">
      <c r="A87" t="s">
        <v>228</v>
      </c>
      <c r="B87" t="s">
        <v>229</v>
      </c>
    </row>
    <row r="88" spans="1:2" x14ac:dyDescent="0.25">
      <c r="A88" t="s">
        <v>230</v>
      </c>
      <c r="B88" t="s">
        <v>231</v>
      </c>
    </row>
    <row r="89" spans="1:2" x14ac:dyDescent="0.25">
      <c r="A89" t="s">
        <v>232</v>
      </c>
      <c r="B89" t="s">
        <v>233</v>
      </c>
    </row>
    <row r="90" spans="1:2" x14ac:dyDescent="0.25">
      <c r="A90" t="s">
        <v>234</v>
      </c>
      <c r="B90" t="s">
        <v>235</v>
      </c>
    </row>
    <row r="91" spans="1:2" x14ac:dyDescent="0.25">
      <c r="A91" t="s">
        <v>236</v>
      </c>
      <c r="B91" t="s">
        <v>237</v>
      </c>
    </row>
    <row r="92" spans="1:2" x14ac:dyDescent="0.25">
      <c r="A92" t="s">
        <v>238</v>
      </c>
      <c r="B92" t="s">
        <v>239</v>
      </c>
    </row>
    <row r="93" spans="1:2" x14ac:dyDescent="0.25">
      <c r="A93" t="s">
        <v>240</v>
      </c>
      <c r="B93" t="s">
        <v>241</v>
      </c>
    </row>
    <row r="94" spans="1:2" x14ac:dyDescent="0.25">
      <c r="A94" t="s">
        <v>242</v>
      </c>
      <c r="B94" t="s">
        <v>243</v>
      </c>
    </row>
    <row r="95" spans="1:2" x14ac:dyDescent="0.25">
      <c r="A95" t="s">
        <v>244</v>
      </c>
      <c r="B95" t="s">
        <v>245</v>
      </c>
    </row>
    <row r="96" spans="1:2" x14ac:dyDescent="0.25">
      <c r="A96" t="s">
        <v>246</v>
      </c>
      <c r="B96" t="s">
        <v>247</v>
      </c>
    </row>
    <row r="97" spans="1:2" x14ac:dyDescent="0.25">
      <c r="A97" t="s">
        <v>248</v>
      </c>
      <c r="B97" t="s">
        <v>249</v>
      </c>
    </row>
    <row r="98" spans="1:2" x14ac:dyDescent="0.25">
      <c r="A98" t="s">
        <v>250</v>
      </c>
      <c r="B98" t="s">
        <v>251</v>
      </c>
    </row>
    <row r="99" spans="1:2" x14ac:dyDescent="0.25">
      <c r="A99" t="s">
        <v>252</v>
      </c>
      <c r="B99" t="s">
        <v>253</v>
      </c>
    </row>
    <row r="100" spans="1:2" x14ac:dyDescent="0.25">
      <c r="A100" t="s">
        <v>254</v>
      </c>
      <c r="B100" t="s">
        <v>255</v>
      </c>
    </row>
    <row r="101" spans="1:2" x14ac:dyDescent="0.25">
      <c r="A101" t="s">
        <v>256</v>
      </c>
      <c r="B101" t="s">
        <v>257</v>
      </c>
    </row>
    <row r="102" spans="1:2" x14ac:dyDescent="0.25">
      <c r="A102" t="s">
        <v>258</v>
      </c>
      <c r="B102" t="s">
        <v>259</v>
      </c>
    </row>
    <row r="103" spans="1:2" x14ac:dyDescent="0.25">
      <c r="A103" t="s">
        <v>260</v>
      </c>
      <c r="B103" t="s">
        <v>261</v>
      </c>
    </row>
    <row r="104" spans="1:2" x14ac:dyDescent="0.25">
      <c r="A104" t="s">
        <v>262</v>
      </c>
      <c r="B104" t="s">
        <v>263</v>
      </c>
    </row>
    <row r="105" spans="1:2" x14ac:dyDescent="0.25">
      <c r="A105" t="s">
        <v>264</v>
      </c>
      <c r="B105" t="s">
        <v>265</v>
      </c>
    </row>
    <row r="106" spans="1:2" x14ac:dyDescent="0.25">
      <c r="A106" t="s">
        <v>266</v>
      </c>
      <c r="B106" t="s">
        <v>267</v>
      </c>
    </row>
    <row r="107" spans="1:2" x14ac:dyDescent="0.25">
      <c r="A107" t="s">
        <v>268</v>
      </c>
      <c r="B107" t="s">
        <v>269</v>
      </c>
    </row>
    <row r="108" spans="1:2" x14ac:dyDescent="0.25">
      <c r="A108" t="s">
        <v>270</v>
      </c>
      <c r="B108" t="s">
        <v>271</v>
      </c>
    </row>
    <row r="109" spans="1:2" x14ac:dyDescent="0.25">
      <c r="A109" t="s">
        <v>272</v>
      </c>
      <c r="B109" t="s">
        <v>273</v>
      </c>
    </row>
    <row r="110" spans="1:2" x14ac:dyDescent="0.25">
      <c r="A110" t="s">
        <v>274</v>
      </c>
      <c r="B110" t="s">
        <v>275</v>
      </c>
    </row>
    <row r="111" spans="1:2" x14ac:dyDescent="0.25">
      <c r="A111" t="s">
        <v>276</v>
      </c>
      <c r="B111" t="s">
        <v>277</v>
      </c>
    </row>
    <row r="112" spans="1:2" x14ac:dyDescent="0.25">
      <c r="A112" t="s">
        <v>278</v>
      </c>
      <c r="B112" t="s">
        <v>279</v>
      </c>
    </row>
    <row r="113" spans="1:2" x14ac:dyDescent="0.25">
      <c r="A113" t="s">
        <v>280</v>
      </c>
      <c r="B113" t="s">
        <v>281</v>
      </c>
    </row>
    <row r="114" spans="1:2" x14ac:dyDescent="0.25">
      <c r="A114" t="s">
        <v>282</v>
      </c>
      <c r="B114" t="s">
        <v>283</v>
      </c>
    </row>
    <row r="115" spans="1:2" x14ac:dyDescent="0.25">
      <c r="A115" t="s">
        <v>284</v>
      </c>
      <c r="B115" t="s">
        <v>285</v>
      </c>
    </row>
    <row r="116" spans="1:2" x14ac:dyDescent="0.25">
      <c r="A116" t="s">
        <v>286</v>
      </c>
      <c r="B116" t="s">
        <v>287</v>
      </c>
    </row>
    <row r="117" spans="1:2" x14ac:dyDescent="0.25">
      <c r="A117" t="s">
        <v>288</v>
      </c>
      <c r="B117" t="s">
        <v>289</v>
      </c>
    </row>
    <row r="118" spans="1:2" x14ac:dyDescent="0.25">
      <c r="A118" t="s">
        <v>290</v>
      </c>
      <c r="B118" t="s">
        <v>291</v>
      </c>
    </row>
    <row r="119" spans="1:2" x14ac:dyDescent="0.25">
      <c r="A119" t="s">
        <v>292</v>
      </c>
      <c r="B119" t="s">
        <v>293</v>
      </c>
    </row>
    <row r="120" spans="1:2" x14ac:dyDescent="0.25">
      <c r="A120" t="s">
        <v>294</v>
      </c>
      <c r="B120" t="s">
        <v>295</v>
      </c>
    </row>
    <row r="121" spans="1:2" x14ac:dyDescent="0.25">
      <c r="A121" t="s">
        <v>296</v>
      </c>
      <c r="B121" t="s">
        <v>297</v>
      </c>
    </row>
    <row r="122" spans="1:2" x14ac:dyDescent="0.25">
      <c r="A122" t="s">
        <v>298</v>
      </c>
      <c r="B122" t="s">
        <v>299</v>
      </c>
    </row>
    <row r="123" spans="1:2" x14ac:dyDescent="0.25">
      <c r="A123" t="s">
        <v>300</v>
      </c>
      <c r="B123" t="s">
        <v>301</v>
      </c>
    </row>
    <row r="124" spans="1:2" x14ac:dyDescent="0.25">
      <c r="A124" t="s">
        <v>302</v>
      </c>
      <c r="B124" t="s">
        <v>303</v>
      </c>
    </row>
    <row r="125" spans="1:2" x14ac:dyDescent="0.25">
      <c r="A125" t="s">
        <v>304</v>
      </c>
      <c r="B125" t="s">
        <v>305</v>
      </c>
    </row>
    <row r="126" spans="1:2" x14ac:dyDescent="0.25">
      <c r="A126" t="s">
        <v>306</v>
      </c>
      <c r="B126" t="s">
        <v>307</v>
      </c>
    </row>
    <row r="127" spans="1:2" x14ac:dyDescent="0.25">
      <c r="A127" t="s">
        <v>308</v>
      </c>
      <c r="B127" t="s">
        <v>309</v>
      </c>
    </row>
    <row r="128" spans="1:2" x14ac:dyDescent="0.25">
      <c r="A128" t="s">
        <v>310</v>
      </c>
      <c r="B128" t="s">
        <v>311</v>
      </c>
    </row>
    <row r="129" spans="1:2" x14ac:dyDescent="0.25">
      <c r="A129" t="s">
        <v>312</v>
      </c>
      <c r="B129" t="s">
        <v>313</v>
      </c>
    </row>
    <row r="130" spans="1:2" x14ac:dyDescent="0.25">
      <c r="A130" t="s">
        <v>314</v>
      </c>
      <c r="B130" t="s">
        <v>315</v>
      </c>
    </row>
    <row r="131" spans="1:2" x14ac:dyDescent="0.25">
      <c r="A131" t="s">
        <v>316</v>
      </c>
      <c r="B131" t="s">
        <v>317</v>
      </c>
    </row>
    <row r="132" spans="1:2" x14ac:dyDescent="0.25">
      <c r="A132" t="s">
        <v>318</v>
      </c>
      <c r="B132" t="s">
        <v>319</v>
      </c>
    </row>
    <row r="133" spans="1:2" x14ac:dyDescent="0.25">
      <c r="A133" t="s">
        <v>320</v>
      </c>
      <c r="B133" t="s">
        <v>321</v>
      </c>
    </row>
    <row r="134" spans="1:2" x14ac:dyDescent="0.25">
      <c r="A134" t="s">
        <v>322</v>
      </c>
      <c r="B134" t="s">
        <v>323</v>
      </c>
    </row>
    <row r="135" spans="1:2" x14ac:dyDescent="0.25">
      <c r="A135" t="s">
        <v>324</v>
      </c>
      <c r="B135" t="s">
        <v>325</v>
      </c>
    </row>
    <row r="136" spans="1:2" x14ac:dyDescent="0.25">
      <c r="A136" t="s">
        <v>326</v>
      </c>
      <c r="B136" t="s">
        <v>327</v>
      </c>
    </row>
    <row r="137" spans="1:2" x14ac:dyDescent="0.25">
      <c r="A137" t="s">
        <v>328</v>
      </c>
      <c r="B137" t="s">
        <v>329</v>
      </c>
    </row>
    <row r="138" spans="1:2" x14ac:dyDescent="0.25">
      <c r="A138" t="s">
        <v>330</v>
      </c>
      <c r="B138" t="s">
        <v>331</v>
      </c>
    </row>
    <row r="139" spans="1:2" x14ac:dyDescent="0.25">
      <c r="A139" t="s">
        <v>332</v>
      </c>
      <c r="B139" t="s">
        <v>333</v>
      </c>
    </row>
    <row r="140" spans="1:2" x14ac:dyDescent="0.25">
      <c r="A140" t="s">
        <v>334</v>
      </c>
      <c r="B140" t="s">
        <v>335</v>
      </c>
    </row>
    <row r="141" spans="1:2" x14ac:dyDescent="0.25">
      <c r="A141" t="s">
        <v>336</v>
      </c>
      <c r="B141" t="s">
        <v>337</v>
      </c>
    </row>
    <row r="142" spans="1:2" x14ac:dyDescent="0.25">
      <c r="A142" t="s">
        <v>338</v>
      </c>
      <c r="B142" t="s">
        <v>339</v>
      </c>
    </row>
    <row r="143" spans="1:2" x14ac:dyDescent="0.25">
      <c r="A143" t="s">
        <v>340</v>
      </c>
      <c r="B143" t="s">
        <v>341</v>
      </c>
    </row>
    <row r="144" spans="1:2" x14ac:dyDescent="0.25">
      <c r="A144" t="s">
        <v>342</v>
      </c>
      <c r="B144" t="s">
        <v>343</v>
      </c>
    </row>
    <row r="145" spans="1:2" x14ac:dyDescent="0.25">
      <c r="A145" t="s">
        <v>517</v>
      </c>
      <c r="B145" t="s">
        <v>518</v>
      </c>
    </row>
    <row r="146" spans="1:2" x14ac:dyDescent="0.25">
      <c r="A146" t="s">
        <v>344</v>
      </c>
      <c r="B146" t="s">
        <v>345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348</v>
      </c>
      <c r="B148" t="s">
        <v>349</v>
      </c>
    </row>
    <row r="149" spans="1:2" x14ac:dyDescent="0.25">
      <c r="A149" t="s">
        <v>350</v>
      </c>
      <c r="B149" t="s">
        <v>351</v>
      </c>
    </row>
    <row r="150" spans="1:2" x14ac:dyDescent="0.25">
      <c r="A150" t="s">
        <v>352</v>
      </c>
      <c r="B150" t="s">
        <v>353</v>
      </c>
    </row>
    <row r="151" spans="1:2" x14ac:dyDescent="0.25">
      <c r="A151" t="s">
        <v>354</v>
      </c>
      <c r="B151" t="s">
        <v>355</v>
      </c>
    </row>
    <row r="152" spans="1:2" x14ac:dyDescent="0.25">
      <c r="A152" t="s">
        <v>356</v>
      </c>
      <c r="B152" t="s">
        <v>357</v>
      </c>
    </row>
    <row r="153" spans="1:2" x14ac:dyDescent="0.25">
      <c r="A153" t="s">
        <v>358</v>
      </c>
      <c r="B153" t="s">
        <v>359</v>
      </c>
    </row>
    <row r="154" spans="1:2" x14ac:dyDescent="0.25">
      <c r="A154" t="s">
        <v>360</v>
      </c>
      <c r="B154" t="s">
        <v>361</v>
      </c>
    </row>
    <row r="155" spans="1:2" x14ac:dyDescent="0.25">
      <c r="A155" t="s">
        <v>362</v>
      </c>
      <c r="B155" t="s">
        <v>363</v>
      </c>
    </row>
    <row r="156" spans="1:2" x14ac:dyDescent="0.25">
      <c r="A156" t="s">
        <v>364</v>
      </c>
      <c r="B156" t="s">
        <v>365</v>
      </c>
    </row>
    <row r="157" spans="1:2" x14ac:dyDescent="0.25">
      <c r="A157" t="s">
        <v>366</v>
      </c>
      <c r="B157" t="s">
        <v>367</v>
      </c>
    </row>
    <row r="158" spans="1:2" x14ac:dyDescent="0.25">
      <c r="A158" t="s">
        <v>368</v>
      </c>
      <c r="B158" t="s">
        <v>369</v>
      </c>
    </row>
    <row r="159" spans="1:2" x14ac:dyDescent="0.25">
      <c r="A159" t="s">
        <v>370</v>
      </c>
      <c r="B159" t="s">
        <v>371</v>
      </c>
    </row>
    <row r="160" spans="1:2" x14ac:dyDescent="0.25">
      <c r="A160" t="s">
        <v>372</v>
      </c>
      <c r="B160" t="s">
        <v>373</v>
      </c>
    </row>
    <row r="161" spans="1:2" x14ac:dyDescent="0.25">
      <c r="A161" t="s">
        <v>374</v>
      </c>
      <c r="B161" t="s">
        <v>375</v>
      </c>
    </row>
    <row r="162" spans="1:2" x14ac:dyDescent="0.25">
      <c r="A162" t="s">
        <v>376</v>
      </c>
      <c r="B162" t="s">
        <v>377</v>
      </c>
    </row>
    <row r="163" spans="1:2" x14ac:dyDescent="0.25">
      <c r="A163" t="s">
        <v>378</v>
      </c>
      <c r="B163" t="s">
        <v>379</v>
      </c>
    </row>
    <row r="164" spans="1:2" x14ac:dyDescent="0.25">
      <c r="A164" t="s">
        <v>380</v>
      </c>
      <c r="B164" t="s">
        <v>381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H12" sqref="H12"/>
    </sheetView>
  </sheetViews>
  <sheetFormatPr defaultRowHeight="15" x14ac:dyDescent="0.25"/>
  <cols>
    <col min="1" max="1" width="30.85546875" customWidth="1"/>
    <col min="2" max="2" width="18.5703125" customWidth="1"/>
  </cols>
  <sheetData>
    <row r="1" spans="1:3" ht="15.75" x14ac:dyDescent="0.25">
      <c r="A1" s="5" t="s">
        <v>44</v>
      </c>
      <c r="B1" s="5" t="s">
        <v>46</v>
      </c>
      <c r="C1" s="5" t="s">
        <v>499</v>
      </c>
    </row>
    <row r="2" spans="1:3" x14ac:dyDescent="0.25">
      <c r="A2" t="s">
        <v>438</v>
      </c>
      <c r="B2" s="17" t="s">
        <v>439</v>
      </c>
      <c r="C2" t="s">
        <v>283</v>
      </c>
    </row>
    <row r="3" spans="1:3" x14ac:dyDescent="0.25">
      <c r="A3" t="s">
        <v>440</v>
      </c>
      <c r="B3" t="s">
        <v>441</v>
      </c>
      <c r="C3" t="s">
        <v>105</v>
      </c>
    </row>
    <row r="4" spans="1:3" x14ac:dyDescent="0.25">
      <c r="A4" t="s">
        <v>442</v>
      </c>
      <c r="B4" t="s">
        <v>443</v>
      </c>
      <c r="C4" t="s">
        <v>365</v>
      </c>
    </row>
    <row r="5" spans="1:3" x14ac:dyDescent="0.25">
      <c r="A5" t="s">
        <v>444</v>
      </c>
      <c r="B5" s="17" t="s">
        <v>396</v>
      </c>
      <c r="C5" t="s">
        <v>283</v>
      </c>
    </row>
    <row r="6" spans="1:3" x14ac:dyDescent="0.25">
      <c r="A6" t="s">
        <v>445</v>
      </c>
      <c r="B6" t="s">
        <v>446</v>
      </c>
      <c r="C6" t="s">
        <v>105</v>
      </c>
    </row>
    <row r="7" spans="1:3" x14ac:dyDescent="0.25">
      <c r="A7" t="s">
        <v>447</v>
      </c>
      <c r="B7" t="s">
        <v>448</v>
      </c>
      <c r="C7" t="s">
        <v>365</v>
      </c>
    </row>
    <row r="8" spans="1:3" x14ac:dyDescent="0.25">
      <c r="A8" t="s">
        <v>449</v>
      </c>
      <c r="B8" s="17" t="s">
        <v>388</v>
      </c>
      <c r="C8" t="s">
        <v>283</v>
      </c>
    </row>
    <row r="9" spans="1:3" x14ac:dyDescent="0.25">
      <c r="A9" t="s">
        <v>450</v>
      </c>
      <c r="B9" t="s">
        <v>451</v>
      </c>
      <c r="C9" t="s">
        <v>105</v>
      </c>
    </row>
    <row r="10" spans="1:3" x14ac:dyDescent="0.25">
      <c r="A10" t="s">
        <v>452</v>
      </c>
      <c r="B10" t="s">
        <v>453</v>
      </c>
      <c r="C10" t="s">
        <v>365</v>
      </c>
    </row>
    <row r="11" spans="1:3" x14ac:dyDescent="0.25">
      <c r="A11" t="s">
        <v>454</v>
      </c>
      <c r="B11" s="17" t="s">
        <v>426</v>
      </c>
      <c r="C11" t="s">
        <v>283</v>
      </c>
    </row>
    <row r="12" spans="1:3" x14ac:dyDescent="0.25">
      <c r="A12" t="s">
        <v>455</v>
      </c>
      <c r="B12" t="s">
        <v>456</v>
      </c>
      <c r="C12" t="s">
        <v>283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topLeftCell="A2" workbookViewId="0">
      <selection activeCell="B9" sqref="B9"/>
    </sheetView>
  </sheetViews>
  <sheetFormatPr defaultRowHeight="15" x14ac:dyDescent="0.25"/>
  <cols>
    <col min="1" max="1" width="30.5703125" customWidth="1"/>
    <col min="2" max="2" width="21.7109375" customWidth="1"/>
    <col min="3" max="3" width="14.140625" customWidth="1"/>
  </cols>
  <sheetData>
    <row r="1" spans="1:3" ht="15.75" x14ac:dyDescent="0.25">
      <c r="A1" s="5" t="s">
        <v>36</v>
      </c>
      <c r="B1" s="14" t="s">
        <v>38</v>
      </c>
      <c r="C1" s="14" t="s">
        <v>40</v>
      </c>
    </row>
    <row r="2" spans="1:3" x14ac:dyDescent="0.25">
      <c r="A2" t="s">
        <v>519</v>
      </c>
      <c r="B2" s="15" t="s">
        <v>521</v>
      </c>
      <c r="C2" s="16" t="s">
        <v>384</v>
      </c>
    </row>
    <row r="3" spans="1:3" x14ac:dyDescent="0.25">
      <c r="A3" t="s">
        <v>520</v>
      </c>
      <c r="B3" s="15" t="s">
        <v>522</v>
      </c>
      <c r="C3" s="16" t="s">
        <v>384</v>
      </c>
    </row>
    <row r="4" spans="1:3" x14ac:dyDescent="0.25">
      <c r="A4" t="s">
        <v>491</v>
      </c>
      <c r="B4" s="15" t="s">
        <v>496</v>
      </c>
      <c r="C4" s="16" t="s">
        <v>384</v>
      </c>
    </row>
    <row r="5" spans="1:3" x14ac:dyDescent="0.25">
      <c r="A5" s="16" t="s">
        <v>492</v>
      </c>
      <c r="B5" s="17">
        <v>3102</v>
      </c>
      <c r="C5" s="16" t="s">
        <v>384</v>
      </c>
    </row>
    <row r="6" spans="1:3" x14ac:dyDescent="0.25">
      <c r="A6" s="16" t="s">
        <v>493</v>
      </c>
      <c r="B6" s="17">
        <v>3103</v>
      </c>
      <c r="C6" s="16" t="s">
        <v>384</v>
      </c>
    </row>
    <row r="7" spans="1:3" x14ac:dyDescent="0.25">
      <c r="A7" s="16" t="s">
        <v>494</v>
      </c>
      <c r="B7" s="17" t="s">
        <v>497</v>
      </c>
      <c r="C7" s="16" t="s">
        <v>384</v>
      </c>
    </row>
    <row r="8" spans="1:3" x14ac:dyDescent="0.25">
      <c r="A8" s="16" t="s">
        <v>382</v>
      </c>
      <c r="B8" s="17" t="s">
        <v>383</v>
      </c>
      <c r="C8" s="16" t="s">
        <v>384</v>
      </c>
    </row>
    <row r="9" spans="1:3" x14ac:dyDescent="0.25">
      <c r="A9" s="16" t="s">
        <v>385</v>
      </c>
      <c r="B9" s="17" t="s">
        <v>386</v>
      </c>
      <c r="C9" s="16" t="s">
        <v>384</v>
      </c>
    </row>
    <row r="10" spans="1:3" x14ac:dyDescent="0.25">
      <c r="A10" s="16" t="s">
        <v>387</v>
      </c>
      <c r="B10" s="17" t="s">
        <v>388</v>
      </c>
      <c r="C10" s="16" t="s">
        <v>384</v>
      </c>
    </row>
    <row r="11" spans="1:3" x14ac:dyDescent="0.25">
      <c r="A11" s="16" t="s">
        <v>389</v>
      </c>
      <c r="B11" s="17" t="s">
        <v>390</v>
      </c>
      <c r="C11" s="16" t="s">
        <v>384</v>
      </c>
    </row>
    <row r="12" spans="1:3" x14ac:dyDescent="0.25">
      <c r="A12" s="16" t="s">
        <v>391</v>
      </c>
      <c r="B12" s="17" t="s">
        <v>392</v>
      </c>
      <c r="C12" s="16" t="s">
        <v>384</v>
      </c>
    </row>
    <row r="13" spans="1:3" x14ac:dyDescent="0.25">
      <c r="A13" s="16" t="s">
        <v>393</v>
      </c>
      <c r="B13" s="17" t="s">
        <v>394</v>
      </c>
      <c r="C13" s="16" t="s">
        <v>384</v>
      </c>
    </row>
    <row r="14" spans="1:3" x14ac:dyDescent="0.25">
      <c r="A14" s="16" t="s">
        <v>495</v>
      </c>
      <c r="B14" s="17" t="s">
        <v>498</v>
      </c>
      <c r="C14" s="16" t="s">
        <v>384</v>
      </c>
    </row>
    <row r="15" spans="1:3" x14ac:dyDescent="0.25">
      <c r="A15" s="16" t="s">
        <v>395</v>
      </c>
      <c r="B15" s="17" t="s">
        <v>396</v>
      </c>
      <c r="C15" s="16" t="s">
        <v>384</v>
      </c>
    </row>
    <row r="16" spans="1:3" x14ac:dyDescent="0.25">
      <c r="A16" s="16" t="s">
        <v>397</v>
      </c>
      <c r="B16" t="s">
        <v>398</v>
      </c>
      <c r="C16" s="16" t="s">
        <v>384</v>
      </c>
    </row>
    <row r="17" spans="1:3" x14ac:dyDescent="0.25">
      <c r="A17" s="16" t="s">
        <v>399</v>
      </c>
      <c r="B17" t="s">
        <v>400</v>
      </c>
      <c r="C17" s="16" t="s">
        <v>384</v>
      </c>
    </row>
    <row r="18" spans="1:3" x14ac:dyDescent="0.25">
      <c r="A18" s="16" t="s">
        <v>401</v>
      </c>
      <c r="B18" t="s">
        <v>402</v>
      </c>
      <c r="C18" s="16" t="s">
        <v>384</v>
      </c>
    </row>
    <row r="19" spans="1:3" x14ac:dyDescent="0.25">
      <c r="A19" s="16" t="s">
        <v>403</v>
      </c>
      <c r="B19" t="s">
        <v>404</v>
      </c>
      <c r="C19" s="16" t="s">
        <v>384</v>
      </c>
    </row>
    <row r="20" spans="1:3" x14ac:dyDescent="0.25">
      <c r="A20" s="16" t="s">
        <v>405</v>
      </c>
      <c r="B20" t="s">
        <v>406</v>
      </c>
      <c r="C20" s="16" t="s">
        <v>384</v>
      </c>
    </row>
    <row r="21" spans="1:3" x14ac:dyDescent="0.25">
      <c r="A21" s="16" t="s">
        <v>407</v>
      </c>
      <c r="B21" t="s">
        <v>408</v>
      </c>
      <c r="C21" s="16" t="s">
        <v>384</v>
      </c>
    </row>
    <row r="22" spans="1:3" x14ac:dyDescent="0.25">
      <c r="A22" s="16" t="s">
        <v>409</v>
      </c>
      <c r="B22" t="s">
        <v>410</v>
      </c>
      <c r="C22" s="16" t="s">
        <v>384</v>
      </c>
    </row>
    <row r="23" spans="1:3" x14ac:dyDescent="0.25">
      <c r="A23" s="16" t="s">
        <v>411</v>
      </c>
      <c r="B23" t="s">
        <v>412</v>
      </c>
      <c r="C23" s="16" t="s">
        <v>384</v>
      </c>
    </row>
    <row r="24" spans="1:3" x14ac:dyDescent="0.25">
      <c r="A24" s="16" t="s">
        <v>413</v>
      </c>
      <c r="B24" t="s">
        <v>414</v>
      </c>
      <c r="C24" s="16" t="s">
        <v>384</v>
      </c>
    </row>
    <row r="25" spans="1:3" x14ac:dyDescent="0.25">
      <c r="A25" s="16" t="s">
        <v>415</v>
      </c>
      <c r="B25" t="s">
        <v>416</v>
      </c>
      <c r="C25" s="16" t="s">
        <v>384</v>
      </c>
    </row>
    <row r="26" spans="1:3" x14ac:dyDescent="0.25">
      <c r="A26" s="16" t="s">
        <v>417</v>
      </c>
      <c r="B26" t="s">
        <v>418</v>
      </c>
      <c r="C26" s="16" t="s">
        <v>384</v>
      </c>
    </row>
    <row r="27" spans="1:3" x14ac:dyDescent="0.25">
      <c r="A27" s="16" t="s">
        <v>419</v>
      </c>
      <c r="B27" s="17" t="s">
        <v>420</v>
      </c>
      <c r="C27" s="16" t="s">
        <v>384</v>
      </c>
    </row>
    <row r="28" spans="1:3" x14ac:dyDescent="0.25">
      <c r="A28" s="16" t="s">
        <v>421</v>
      </c>
      <c r="B28" s="17" t="s">
        <v>422</v>
      </c>
      <c r="C28" s="16" t="s">
        <v>384</v>
      </c>
    </row>
    <row r="29" spans="1:3" x14ac:dyDescent="0.25">
      <c r="A29" s="16" t="s">
        <v>423</v>
      </c>
      <c r="B29" s="17" t="s">
        <v>424</v>
      </c>
      <c r="C29" s="16" t="s">
        <v>384</v>
      </c>
    </row>
    <row r="30" spans="1:3" x14ac:dyDescent="0.25">
      <c r="A30" s="16" t="s">
        <v>425</v>
      </c>
      <c r="B30" s="17" t="s">
        <v>426</v>
      </c>
      <c r="C30" s="16" t="s">
        <v>384</v>
      </c>
    </row>
    <row r="31" spans="1:3" x14ac:dyDescent="0.25">
      <c r="A31" s="16" t="s">
        <v>427</v>
      </c>
      <c r="B31" s="17" t="s">
        <v>428</v>
      </c>
      <c r="C31" s="16" t="s">
        <v>384</v>
      </c>
    </row>
    <row r="32" spans="1:3" x14ac:dyDescent="0.25">
      <c r="A32" s="16" t="s">
        <v>429</v>
      </c>
      <c r="B32" s="17">
        <v>1204</v>
      </c>
      <c r="C32" s="16" t="s">
        <v>384</v>
      </c>
    </row>
    <row r="33" spans="1:3" x14ac:dyDescent="0.25">
      <c r="A33" s="16" t="s">
        <v>430</v>
      </c>
      <c r="B33" s="17">
        <v>1201</v>
      </c>
      <c r="C33" s="16" t="s">
        <v>384</v>
      </c>
    </row>
    <row r="34" spans="1:3" x14ac:dyDescent="0.25">
      <c r="A34" s="16" t="s">
        <v>431</v>
      </c>
      <c r="B34" s="17">
        <v>1102</v>
      </c>
      <c r="C34" s="16" t="s">
        <v>384</v>
      </c>
    </row>
    <row r="35" spans="1:3" x14ac:dyDescent="0.25">
      <c r="A35" s="16" t="s">
        <v>432</v>
      </c>
      <c r="B35" s="17">
        <v>1203</v>
      </c>
      <c r="C35" s="16" t="s">
        <v>384</v>
      </c>
    </row>
    <row r="36" spans="1:3" x14ac:dyDescent="0.25">
      <c r="A36" s="16" t="s">
        <v>433</v>
      </c>
      <c r="B36" s="17">
        <v>1202</v>
      </c>
      <c r="C36" s="16" t="s">
        <v>384</v>
      </c>
    </row>
    <row r="37" spans="1:3" x14ac:dyDescent="0.25">
      <c r="A37" s="16" t="s">
        <v>434</v>
      </c>
      <c r="B37" s="17">
        <v>1101</v>
      </c>
      <c r="C37" s="16" t="s">
        <v>384</v>
      </c>
    </row>
    <row r="38" spans="1:3" x14ac:dyDescent="0.25">
      <c r="A38" s="16" t="s">
        <v>435</v>
      </c>
      <c r="B38" s="17" t="s">
        <v>436</v>
      </c>
      <c r="C38" s="16" t="s">
        <v>384</v>
      </c>
    </row>
    <row r="39" spans="1:3" x14ac:dyDescent="0.25">
      <c r="A39" s="16" t="s">
        <v>437</v>
      </c>
      <c r="B39" s="17">
        <v>1299</v>
      </c>
      <c r="C39" s="16" t="s">
        <v>384</v>
      </c>
    </row>
    <row r="40" spans="1:3" x14ac:dyDescent="0.25">
      <c r="A40" s="16" t="s">
        <v>437</v>
      </c>
      <c r="B40" s="17">
        <v>1299</v>
      </c>
      <c r="C40" s="16" t="s">
        <v>384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:C26"/>
  <sheetViews>
    <sheetView workbookViewId="0">
      <selection activeCell="C9" sqref="C9"/>
    </sheetView>
  </sheetViews>
  <sheetFormatPr defaultRowHeight="15" x14ac:dyDescent="0.25"/>
  <cols>
    <col min="1" max="1" width="21.7109375" customWidth="1"/>
    <col min="2" max="2" width="19.5703125" customWidth="1"/>
    <col min="3" max="3" width="19.85546875" customWidth="1"/>
  </cols>
  <sheetData>
    <row r="1" spans="1:3" x14ac:dyDescent="0.25">
      <c r="A1" t="s">
        <v>9</v>
      </c>
      <c r="B1" t="s">
        <v>512</v>
      </c>
      <c r="C1" t="s">
        <v>511</v>
      </c>
    </row>
    <row r="2" spans="1:3" x14ac:dyDescent="0.25">
      <c r="A2" t="s">
        <v>61</v>
      </c>
      <c r="B2" t="s">
        <v>61</v>
      </c>
      <c r="C2" t="s">
        <v>61</v>
      </c>
    </row>
    <row r="3" spans="1:3" x14ac:dyDescent="0.25">
      <c r="A3" t="s">
        <v>523</v>
      </c>
      <c r="B3" t="s">
        <v>547</v>
      </c>
      <c r="C3" t="s">
        <v>61</v>
      </c>
    </row>
    <row r="4" spans="1:3" x14ac:dyDescent="0.25">
      <c r="A4" t="s">
        <v>524</v>
      </c>
      <c r="B4" t="s">
        <v>548</v>
      </c>
      <c r="C4" t="s">
        <v>61</v>
      </c>
    </row>
    <row r="5" spans="1:3" x14ac:dyDescent="0.25">
      <c r="A5" t="s">
        <v>525</v>
      </c>
      <c r="B5" t="s">
        <v>549</v>
      </c>
      <c r="C5" t="s">
        <v>61</v>
      </c>
    </row>
    <row r="6" spans="1:3" x14ac:dyDescent="0.25">
      <c r="A6" t="s">
        <v>526</v>
      </c>
      <c r="B6" t="s">
        <v>550</v>
      </c>
      <c r="C6" t="s">
        <v>61</v>
      </c>
    </row>
    <row r="7" spans="1:3" x14ac:dyDescent="0.25">
      <c r="A7" t="s">
        <v>527</v>
      </c>
      <c r="B7" t="s">
        <v>551</v>
      </c>
      <c r="C7" t="s">
        <v>61</v>
      </c>
    </row>
    <row r="8" spans="1:3" x14ac:dyDescent="0.25">
      <c r="A8" t="s">
        <v>528</v>
      </c>
      <c r="B8" t="s">
        <v>552</v>
      </c>
      <c r="C8" t="s">
        <v>61</v>
      </c>
    </row>
    <row r="9" spans="1:3" x14ac:dyDescent="0.25">
      <c r="A9" t="s">
        <v>529</v>
      </c>
      <c r="B9" t="s">
        <v>553</v>
      </c>
      <c r="C9" t="s">
        <v>61</v>
      </c>
    </row>
    <row r="10" spans="1:3" x14ac:dyDescent="0.25">
      <c r="A10" t="s">
        <v>530</v>
      </c>
      <c r="B10" t="s">
        <v>554</v>
      </c>
      <c r="C10" t="s">
        <v>61</v>
      </c>
    </row>
    <row r="11" spans="1:3" x14ac:dyDescent="0.25">
      <c r="A11" t="s">
        <v>531</v>
      </c>
      <c r="B11" t="s">
        <v>555</v>
      </c>
      <c r="C11" t="s">
        <v>61</v>
      </c>
    </row>
    <row r="12" spans="1:3" x14ac:dyDescent="0.25">
      <c r="A12" t="s">
        <v>532</v>
      </c>
      <c r="B12" t="s">
        <v>556</v>
      </c>
      <c r="C12" t="s">
        <v>61</v>
      </c>
    </row>
    <row r="13" spans="1:3" x14ac:dyDescent="0.25">
      <c r="A13" t="s">
        <v>533</v>
      </c>
      <c r="B13" t="s">
        <v>557</v>
      </c>
      <c r="C13" t="s">
        <v>61</v>
      </c>
    </row>
    <row r="14" spans="1:3" x14ac:dyDescent="0.25">
      <c r="A14" t="s">
        <v>534</v>
      </c>
      <c r="B14" t="s">
        <v>558</v>
      </c>
      <c r="C14" t="s">
        <v>541</v>
      </c>
    </row>
    <row r="15" spans="1:3" x14ac:dyDescent="0.25">
      <c r="A15" t="s">
        <v>535</v>
      </c>
      <c r="B15" t="s">
        <v>559</v>
      </c>
      <c r="C15" t="s">
        <v>541</v>
      </c>
    </row>
    <row r="16" spans="1:3" x14ac:dyDescent="0.25">
      <c r="A16" t="s">
        <v>536</v>
      </c>
      <c r="B16" t="s">
        <v>536</v>
      </c>
      <c r="C16" t="s">
        <v>536</v>
      </c>
    </row>
    <row r="17" spans="1:3" x14ac:dyDescent="0.25">
      <c r="A17" t="s">
        <v>537</v>
      </c>
      <c r="B17" t="s">
        <v>560</v>
      </c>
      <c r="C17" t="s">
        <v>61</v>
      </c>
    </row>
    <row r="18" spans="1:3" x14ac:dyDescent="0.25">
      <c r="A18" t="s">
        <v>538</v>
      </c>
      <c r="B18" t="s">
        <v>561</v>
      </c>
      <c r="C18" t="s">
        <v>61</v>
      </c>
    </row>
    <row r="19" spans="1:3" x14ac:dyDescent="0.25">
      <c r="A19" t="s">
        <v>539</v>
      </c>
      <c r="B19" t="s">
        <v>562</v>
      </c>
      <c r="C19" t="s">
        <v>61</v>
      </c>
    </row>
    <row r="20" spans="1:3" x14ac:dyDescent="0.25">
      <c r="A20" t="s">
        <v>540</v>
      </c>
      <c r="B20" t="s">
        <v>563</v>
      </c>
      <c r="C20" t="s">
        <v>61</v>
      </c>
    </row>
    <row r="21" spans="1:3" x14ac:dyDescent="0.25">
      <c r="A21" t="s">
        <v>541</v>
      </c>
      <c r="B21" t="s">
        <v>541</v>
      </c>
      <c r="C21" t="s">
        <v>541</v>
      </c>
    </row>
    <row r="22" spans="1:3" x14ac:dyDescent="0.25">
      <c r="A22" t="s">
        <v>542</v>
      </c>
      <c r="B22" t="s">
        <v>564</v>
      </c>
      <c r="C22" t="s">
        <v>61</v>
      </c>
    </row>
    <row r="23" spans="1:3" x14ac:dyDescent="0.25">
      <c r="A23" t="s">
        <v>543</v>
      </c>
      <c r="B23" t="s">
        <v>543</v>
      </c>
      <c r="C23" t="s">
        <v>536</v>
      </c>
    </row>
    <row r="24" spans="1:3" x14ac:dyDescent="0.25">
      <c r="A24" t="s">
        <v>544</v>
      </c>
      <c r="B24" t="s">
        <v>565</v>
      </c>
      <c r="C24" t="s">
        <v>61</v>
      </c>
    </row>
    <row r="25" spans="1:3" x14ac:dyDescent="0.25">
      <c r="A25" t="s">
        <v>545</v>
      </c>
      <c r="B25" t="s">
        <v>543</v>
      </c>
      <c r="C25" t="s">
        <v>61</v>
      </c>
    </row>
    <row r="26" spans="1:3" x14ac:dyDescent="0.25">
      <c r="A26" t="s">
        <v>546</v>
      </c>
      <c r="B26" t="s">
        <v>566</v>
      </c>
      <c r="C26" t="s">
        <v>61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:B13"/>
  <sheetViews>
    <sheetView workbookViewId="0">
      <selection activeCell="G9" sqref="G9"/>
    </sheetView>
  </sheetViews>
  <sheetFormatPr defaultRowHeight="15" x14ac:dyDescent="0.25"/>
  <cols>
    <col min="1" max="1" width="25.85546875" customWidth="1"/>
    <col min="2" max="2" width="17.5703125" customWidth="1"/>
  </cols>
  <sheetData>
    <row r="1" spans="1:2" x14ac:dyDescent="0.25">
      <c r="A1" t="s">
        <v>56</v>
      </c>
      <c r="B1" t="s">
        <v>516</v>
      </c>
    </row>
    <row r="2" spans="1:2" x14ac:dyDescent="0.25">
      <c r="A2" t="s">
        <v>568</v>
      </c>
      <c r="B2" t="s">
        <v>580</v>
      </c>
    </row>
    <row r="3" spans="1:2" x14ac:dyDescent="0.25">
      <c r="A3" t="s">
        <v>569</v>
      </c>
      <c r="B3" t="s">
        <v>581</v>
      </c>
    </row>
    <row r="4" spans="1:2" x14ac:dyDescent="0.25">
      <c r="A4" t="s">
        <v>570</v>
      </c>
      <c r="B4" t="s">
        <v>582</v>
      </c>
    </row>
    <row r="5" spans="1:2" x14ac:dyDescent="0.25">
      <c r="A5" t="s">
        <v>571</v>
      </c>
      <c r="B5" t="s">
        <v>583</v>
      </c>
    </row>
    <row r="6" spans="1:2" x14ac:dyDescent="0.25">
      <c r="A6" t="s">
        <v>572</v>
      </c>
      <c r="B6" t="s">
        <v>584</v>
      </c>
    </row>
    <row r="7" spans="1:2" x14ac:dyDescent="0.25">
      <c r="A7" t="s">
        <v>573</v>
      </c>
      <c r="B7" t="s">
        <v>585</v>
      </c>
    </row>
    <row r="8" spans="1:2" x14ac:dyDescent="0.25">
      <c r="A8" t="s">
        <v>574</v>
      </c>
      <c r="B8" t="s">
        <v>586</v>
      </c>
    </row>
    <row r="9" spans="1:2" x14ac:dyDescent="0.25">
      <c r="A9" t="s">
        <v>575</v>
      </c>
      <c r="B9" t="s">
        <v>587</v>
      </c>
    </row>
    <row r="10" spans="1:2" x14ac:dyDescent="0.25">
      <c r="A10" t="s">
        <v>576</v>
      </c>
      <c r="B10" t="s">
        <v>588</v>
      </c>
    </row>
    <row r="11" spans="1:2" x14ac:dyDescent="0.25">
      <c r="A11" t="s">
        <v>577</v>
      </c>
      <c r="B11" t="s">
        <v>589</v>
      </c>
    </row>
    <row r="12" spans="1:2" x14ac:dyDescent="0.25">
      <c r="A12" t="s">
        <v>578</v>
      </c>
      <c r="B12" t="s">
        <v>590</v>
      </c>
    </row>
    <row r="13" spans="1:2" x14ac:dyDescent="0.25">
      <c r="A13" t="s">
        <v>579</v>
      </c>
      <c r="B13" t="s">
        <v>591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B11:P14"/>
  <sheetViews>
    <sheetView workbookViewId="0">
      <selection activeCell="J10" sqref="J10"/>
    </sheetView>
  </sheetViews>
  <sheetFormatPr defaultRowHeight="15" x14ac:dyDescent="0.25"/>
  <cols>
    <col min="2" max="2" width="11" customWidth="1"/>
    <col min="3" max="3" width="12.85546875" customWidth="1"/>
    <col min="4" max="4" width="18.42578125" customWidth="1"/>
    <col min="5" max="5" width="11.28515625" bestFit="1" customWidth="1"/>
    <col min="6" max="6" width="12.5703125" customWidth="1"/>
    <col min="7" max="7" width="13.140625" customWidth="1"/>
    <col min="8" max="8" width="17.140625" customWidth="1"/>
    <col min="9" max="9" width="13.42578125" customWidth="1"/>
    <col min="10" max="10" width="15.28515625" customWidth="1"/>
    <col min="11" max="11" width="19.140625" customWidth="1"/>
    <col min="12" max="12" width="18.7109375" customWidth="1"/>
    <col min="13" max="13" width="12.28515625" customWidth="1"/>
    <col min="14" max="14" width="11.5703125" customWidth="1"/>
  </cols>
  <sheetData>
    <row r="11" spans="2:16" x14ac:dyDescent="0.25">
      <c r="B11" t="s">
        <v>3</v>
      </c>
      <c r="C11" t="s">
        <v>4</v>
      </c>
      <c r="D11" t="s">
        <v>467</v>
      </c>
      <c r="E11" t="s">
        <v>9</v>
      </c>
      <c r="F11" t="s">
        <v>15</v>
      </c>
      <c r="G11" t="s">
        <v>14</v>
      </c>
      <c r="H11" t="s">
        <v>12</v>
      </c>
      <c r="I11" t="s">
        <v>10</v>
      </c>
      <c r="J11" t="s">
        <v>468</v>
      </c>
      <c r="K11" t="s">
        <v>592</v>
      </c>
      <c r="L11" t="s">
        <v>593</v>
      </c>
      <c r="M11" t="s">
        <v>56</v>
      </c>
      <c r="N11" t="s">
        <v>36</v>
      </c>
      <c r="O11" t="s">
        <v>54</v>
      </c>
      <c r="P11" t="s">
        <v>55</v>
      </c>
    </row>
    <row r="12" spans="2:16" x14ac:dyDescent="0.25">
      <c r="B12">
        <v>1</v>
      </c>
      <c r="C12" t="s">
        <v>594</v>
      </c>
      <c r="D12">
        <v>45</v>
      </c>
      <c r="E12" t="s">
        <v>547</v>
      </c>
      <c r="F12">
        <v>0.2</v>
      </c>
      <c r="G12">
        <v>20</v>
      </c>
      <c r="H12" t="s">
        <v>61</v>
      </c>
      <c r="I12" s="25">
        <v>44969</v>
      </c>
      <c r="J12" s="25">
        <v>44969</v>
      </c>
      <c r="K12">
        <v>0.99</v>
      </c>
      <c r="L12">
        <v>20.8</v>
      </c>
      <c r="M12" t="s">
        <v>590</v>
      </c>
      <c r="N12" t="s">
        <v>426</v>
      </c>
    </row>
    <row r="13" spans="2:16" x14ac:dyDescent="0.25">
      <c r="B13">
        <v>2</v>
      </c>
      <c r="C13" t="s">
        <v>595</v>
      </c>
      <c r="D13">
        <v>51</v>
      </c>
      <c r="E13" t="s">
        <v>560</v>
      </c>
      <c r="F13">
        <v>50</v>
      </c>
      <c r="G13">
        <v>30</v>
      </c>
      <c r="H13" t="s">
        <v>71</v>
      </c>
      <c r="I13" s="25">
        <v>44970</v>
      </c>
      <c r="J13" s="25">
        <v>44970</v>
      </c>
      <c r="K13">
        <v>55</v>
      </c>
      <c r="L13">
        <v>31.2</v>
      </c>
      <c r="M13" t="s">
        <v>590</v>
      </c>
      <c r="N13" t="s">
        <v>426</v>
      </c>
    </row>
    <row r="14" spans="2:16" x14ac:dyDescent="0.25">
      <c r="B14">
        <v>3</v>
      </c>
      <c r="C14" t="s">
        <v>596</v>
      </c>
      <c r="D14">
        <v>56</v>
      </c>
      <c r="E14" t="s">
        <v>562</v>
      </c>
      <c r="F14">
        <v>60</v>
      </c>
      <c r="G14">
        <v>40</v>
      </c>
      <c r="H14" t="s">
        <v>69</v>
      </c>
      <c r="I14" s="25">
        <v>44971</v>
      </c>
      <c r="J14" s="25">
        <v>44971</v>
      </c>
      <c r="K14">
        <v>65</v>
      </c>
      <c r="L14">
        <v>41.6</v>
      </c>
      <c r="M14" t="s">
        <v>590</v>
      </c>
      <c r="N14" t="s">
        <v>426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PMWorksheet</vt:lpstr>
      <vt:lpstr>RetailPoints</vt:lpstr>
      <vt:lpstr>LookUpMetaData</vt:lpstr>
      <vt:lpstr>Settings</vt:lpstr>
      <vt:lpstr>WorksheetMetaData</vt:lpstr>
      <vt:lpstr>Currencies</vt:lpstr>
      <vt:lpstr>Suppliers</vt:lpstr>
      <vt:lpstr>Locations</vt:lpstr>
      <vt:lpstr>PriceGroups</vt:lpstr>
      <vt:lpstr>PriceTypes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Enactor</cp:lastModifiedBy>
  <dcterms:created xsi:type="dcterms:W3CDTF">2023-06-15T10:01:54Z</dcterms:created>
  <dcterms:modified xsi:type="dcterms:W3CDTF">2023-07-31T07:23:56Z</dcterms:modified>
</cp:coreProperties>
</file>